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Marlon PC\Estudios\MICITT Analisis de datos\"/>
    </mc:Choice>
  </mc:AlternateContent>
  <xr:revisionPtr revIDLastSave="0" documentId="13_ncr:1_{CE942A70-2261-4A57-9FD9-EED90E709C2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Bike Sales" sheetId="1" r:id="rId1"/>
    <sheet name="Revision 1" sheetId="2" r:id="rId2"/>
    <sheet name="Revision 1 (2)" sheetId="3" r:id="rId3"/>
    <sheet name="Revision 1 (3)" sheetId="4" r:id="rId4"/>
  </sheets>
  <calcPr calcId="191028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 a="1"/>
  <c r="I3" i="4" s="1"/>
  <c r="G3" i="4" a="1"/>
  <c r="G3" i="4" s="1"/>
  <c r="E4" i="4"/>
  <c r="E3" i="4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<sst xmlns="http://schemas.openxmlformats.org/spreadsheetml/2006/main" count="939" uniqueCount="183">
  <si>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</si>
  <si>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</si>
  <si>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</si>
  <si>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</si>
  <si>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</si>
  <si>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</si>
  <si>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</si>
  <si>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</si>
  <si>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</si>
  <si>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</si>
  <si>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</si>
  <si>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</si>
  <si>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</si>
  <si>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</si>
  <si>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</si>
  <si>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</si>
  <si>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</si>
  <si>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</si>
  <si>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</si>
  <si>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</si>
  <si>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</si>
  <si>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</si>
  <si>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</si>
  <si>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</si>
  <si>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</si>
  <si>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</si>
  <si>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</si>
  <si>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</si>
  <si>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</si>
  <si>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</si>
  <si>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</si>
  <si>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</si>
  <si>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</si>
  <si>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</si>
  <si>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</si>
  <si>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</si>
  <si>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</si>
  <si>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</si>
  <si>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</si>
  <si>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</si>
  <si>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</si>
  <si>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</si>
  <si>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</si>
  <si>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</si>
  <si>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</si>
  <si>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</si>
  <si>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</si>
  <si>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</si>
  <si>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</si>
  <si>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</si>
  <si>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</si>
  <si>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</si>
  <si>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</si>
  <si>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</si>
  <si>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</si>
  <si>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</si>
  <si>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</si>
  <si>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</si>
  <si>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</si>
  <si>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</si>
  <si>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</si>
  <si>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</si>
  <si>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</si>
  <si>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</si>
  <si>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</si>
  <si>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</si>
  <si>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</si>
  <si>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</si>
  <si>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</si>
  <si>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</si>
  <si>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</si>
  <si>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</si>
  <si>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</si>
  <si>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</si>
  <si>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</si>
  <si>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</si>
  <si>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</si>
  <si>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</si>
  <si>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</si>
  <si>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</si>
  <si>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</si>
  <si>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</si>
  <si>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</si>
  <si>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</si>
  <si>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</si>
  <si>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</si>
  <si>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</si>
  <si>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</si>
  <si>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</si>
  <si>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</si>
  <si>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</si>
  <si>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</si>
  <si>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</si>
  <si>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</si>
  <si>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</si>
  <si>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</si>
  <si>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</si>
  <si>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</si>
  <si>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</si>
  <si>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</si>
  <si>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</si>
  <si>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</si>
  <si>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</si>
  <si>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</si>
  <si>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</si>
  <si>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</si>
  <si>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</si>
  <si>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</si>
  <si>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</si>
  <si>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</si>
  <si>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</si>
  <si>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</si>
  <si>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</si>
  <si>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</si>
  <si>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</si>
  <si>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</si>
  <si>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</si>
  <si>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</si>
  <si>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</si>
  <si>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</si>
  <si>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</si>
  <si>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</si>
  <si>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</si>
  <si>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</si>
  <si>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</si>
  <si>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</si>
  <si>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</si>
  <si>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</si>
  <si>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</si>
  <si>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</si>
  <si>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</si>
  <si>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</si>
  <si>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</si>
  <si>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</si>
  <si>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</si>
  <si>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</si>
  <si>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</si>
  <si>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</si>
  <si>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</si>
  <si>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</si>
  <si>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</si>
  <si>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</si>
  <si>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</si>
  <si>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</si>
  <si>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</si>
  <si>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</si>
  <si>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</si>
  <si>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</si>
  <si>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</si>
  <si>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</si>
  <si>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</si>
  <si>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</si>
  <si>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</si>
  <si>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</si>
  <si>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</si>
  <si>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</si>
  <si>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Total general</t>
  </si>
  <si>
    <t>Suma de Order_Quantity</t>
  </si>
  <si>
    <t>Total</t>
  </si>
  <si>
    <t>Total 12/19/2021</t>
  </si>
  <si>
    <t>Total 12/18/2021</t>
  </si>
  <si>
    <t>Total 12/20/2021</t>
  </si>
  <si>
    <t>Total 12/12/2021</t>
  </si>
  <si>
    <t>Total 12/8/2021</t>
  </si>
  <si>
    <t>Total 12/5/2021</t>
  </si>
  <si>
    <t>Total 12/22/2021</t>
  </si>
  <si>
    <t>Total 12/11/2021</t>
  </si>
  <si>
    <t>Total 12/10/2021</t>
  </si>
  <si>
    <t>Total 12/7/2021</t>
  </si>
  <si>
    <t>Total 12/6/2021</t>
  </si>
  <si>
    <t>Total 12/13/2021</t>
  </si>
  <si>
    <t>Total 12/21/2021</t>
  </si>
  <si>
    <t>Total 12/1/2021</t>
  </si>
  <si>
    <t>Total 12/16/2021</t>
  </si>
  <si>
    <t>Total 12/4/2021</t>
  </si>
  <si>
    <t>Total 12/24/2021</t>
  </si>
  <si>
    <t>Total 12/17/2021</t>
  </si>
  <si>
    <t>Total 12/3/2021</t>
  </si>
  <si>
    <t>Total 12/14/2021</t>
  </si>
  <si>
    <t>Total 12/2/2021</t>
  </si>
  <si>
    <t>Total 12/23/2021</t>
  </si>
  <si>
    <t>Total 12/9/2021</t>
  </si>
  <si>
    <t>Total 12/15/2021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</si>
</sst>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>
        <c:manualLayout>
          <c:layoutTarget val="inner"/>
          <c:xMode val="edge"/>
          <c:yMode val="edge"/>
          <c:x val="6.6633739748048731E-2"/>
          <c:y val="0.14272244110055318"/>
          <c:w val="0.8617407306845265"/>
          <c:h val="0.69105048368189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'Revision 1 (2)'!$I$2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'Revision 1 (2)'!$H$3:$H$12</c:f>
              <c:numCache>
                <c:formatCode>m/d/yyyy</c:formatCode>
                <c:ptCount val="10"/>
                <c:pt idx="0">
                  <c:v>44549</c:v>
                </c:pt>
                <c:pt idx="1">
                  <c:v>44548</c:v>
                </c:pt>
                <c:pt idx="2">
                  <c:v>44550</c:v>
                </c:pt>
                <c:pt idx="3">
                  <c:v>44542</c:v>
                </c:pt>
                <c:pt idx="4">
                  <c:v>44538</c:v>
                </c:pt>
                <c:pt idx="5">
                  <c:v>44535</c:v>
                </c:pt>
                <c:pt idx="6">
                  <c:v>44552</c:v>
                </c:pt>
                <c:pt idx="7">
                  <c:v>44541</c:v>
                </c:pt>
                <c:pt idx="8">
                  <c:v>44540</c:v>
                </c:pt>
                <c:pt idx="9">
                  <c:v>44537</c:v>
                </c:pt>
              </c:numCache>
            </c:numRef>
          </c:xVal>
          <c:yVal>
            <c:numRef>
              <c:f>'Revision 1 (2)'!$I$3:$I$12</c:f>
              <c:numCache>
                <c:formatCode>General</c:formatCode>
                <c:ptCount val="10"/>
                <c:pt idx="0">
                  <c:v>43</c:v>
                </c:pt>
                <c:pt idx="1">
                  <c:v>19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D4-4789-8F8D-299A991CD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356047"/>
        <c:axId val="1460358127"/>
      </c:scatterChart>
      <c:valAx>
        <c:axId val="146035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460358127"/>
        <c:crosses val="autoZero"/>
        <c:crossBetween val="midCat"/>
      </c:valAx>
      <c:valAx>
        <c:axId val="14603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46035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104774</xdr:colOff>
      <xdr:row>13</xdr:row>
      <xdr:rowOff>52386</xdr:rowOff>
    </xdr:from>
    <xdr:to>
      <xdr:col>11</xdr:col>
      <xdr:colOff>571499</xdr:colOff>
      <xdr:row>30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A36F3C-58D5-4328-BB6C-F34FD3DFB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lon Alvarez C" refreshedDate="46182.541935995374" createdVersion="7" refreshedVersion="7" minRefreshableVersion="3" recordCount="88" xr:uid="{521C10B9-BAD7-440F-B602-694224FFA59B}">
  <cacheSource type="worksheet">
    <worksheetSource ref="A1:S89" sheet="Bike Sales"/>
  </cacheSource>
  <cacheFields count="19">
    <cacheField name="Sales_Order #" numFmtId="49">
      <sharedItems count="88">
        <s v="000261696"/>
        <s v="000261695"/>
        <s v="000261697"/>
        <s v="000261698"/>
        <s v="000261699"/>
        <s v="000261700"/>
        <s v="000261701"/>
        <s v="000261702"/>
        <s v="000261703"/>
        <s v="000261704"/>
        <s v="000261705"/>
        <s v="000261706"/>
        <s v="000261707"/>
        <s v="000261708"/>
        <s v="000261709"/>
        <s v="000261710"/>
        <s v="000261711"/>
        <s v="000261712"/>
        <s v="000261713"/>
        <s v="000261714"/>
        <s v="000261715"/>
        <s v="000261716"/>
        <s v="000261717"/>
        <s v="000261718"/>
        <s v="000261719"/>
        <s v="000261720"/>
        <s v="000261721"/>
        <s v="000261722"/>
        <s v="000261723"/>
        <s v="000261724"/>
        <s v="000261725"/>
        <s v="000261726"/>
        <s v="000261727"/>
        <s v="000261728"/>
        <s v="000261729"/>
        <s v="000261730"/>
        <s v="000261731"/>
        <s v="000261732"/>
        <s v="000261733"/>
        <s v="000261734"/>
        <s v="000261735"/>
        <s v="000261736"/>
        <s v="000261737"/>
        <s v="000261738"/>
        <s v="000261739"/>
        <s v="000261740"/>
        <s v="000261741"/>
        <s v="000261742"/>
        <s v="000261743"/>
        <s v="000261744"/>
        <s v="000261745"/>
        <s v="000261746"/>
        <s v="000261747"/>
        <s v="000261748"/>
        <s v="000261749"/>
        <s v="000261750"/>
        <s v="000261751"/>
        <s v="000261752"/>
        <s v="000261753"/>
        <s v="000261754"/>
        <s v="000261755"/>
        <s v="000261756"/>
        <s v="000261757"/>
        <s v="000261758"/>
        <s v="000261759"/>
        <s v="000261760"/>
        <s v="000261761"/>
        <s v="000261762"/>
        <s v="000261763"/>
        <s v="000261764"/>
        <s v="000261765"/>
        <s v="000261766"/>
        <s v="000261767"/>
        <s v="000261768"/>
        <s v="000261769"/>
        <s v="000261770"/>
        <s v="000261771"/>
        <s v="000261772"/>
        <s v="000261773"/>
        <s v="000261774"/>
        <s v="000261775"/>
        <s v="000261776"/>
        <s v="000261777"/>
        <s v="000261778"/>
        <s v="000261779"/>
        <s v="000261780"/>
        <s v="000261781"/>
        <s v="000261782"/>
      </sharedItems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 count="28">
        <n v="39"/>
        <n v="44"/>
        <n v="37"/>
        <n v="31"/>
        <n v="24"/>
        <n v="42"/>
        <n v="35"/>
        <n v="23"/>
        <n v="27"/>
        <n v="36"/>
        <n v="47"/>
        <n v="30"/>
        <n v="38"/>
        <n v="19"/>
        <n v="33"/>
        <n v="41"/>
        <n v="34"/>
        <n v="40"/>
        <n v="26"/>
        <n v="32"/>
        <n v="49"/>
        <n v="29"/>
        <n v="17"/>
        <n v="25"/>
        <n v="63"/>
        <n v="18"/>
        <n v="56"/>
        <n v="57"/>
      </sharedItems>
    </cacheField>
    <cacheField name="Age_Group" numFmtId="0">
      <sharedItems/>
    </cacheField>
    <cacheField name="Customer_Gender" numFmtId="0">
      <sharedItems/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11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13926"/>
    </cacheField>
    <cacheField name="Revenue" numFmtId="8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n v="1"/>
    <s v="December"/>
    <n v="2021"/>
    <x v="0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x v="1"/>
    <x v="0"/>
    <n v="1"/>
    <s v="December"/>
    <n v="2021"/>
    <x v="1"/>
    <s v="Adults (35-64)"/>
    <s v="M"/>
    <s v="United Kingdom"/>
    <s v="England"/>
    <s v="Bikes"/>
    <s v="Mountain Bikes"/>
    <s v="Mountain-200 Silver, 42"/>
    <n v="1"/>
    <n v="1266"/>
    <n v="2320"/>
    <n v="1054"/>
    <n v="1266"/>
    <n v="2320"/>
  </r>
  <r>
    <x v="2"/>
    <x v="1"/>
    <n v="2"/>
    <s v="December"/>
    <n v="2021"/>
    <x v="2"/>
    <s v="Adults (35-64)"/>
    <s v="M"/>
    <s v="United States"/>
    <s v="California"/>
    <s v="Bikes"/>
    <s v="Mountain Bikes"/>
    <s v="Mountain-400-W Silver, 46"/>
    <n v="2"/>
    <n v="420"/>
    <n v="769"/>
    <n v="698"/>
    <n v="840"/>
    <n v="1538"/>
  </r>
  <r>
    <x v="3"/>
    <x v="1"/>
    <n v="2"/>
    <s v="December"/>
    <n v="2021"/>
    <x v="3"/>
    <s v="Young Adults (25-34)"/>
    <s v="F"/>
    <s v="Australia"/>
    <s v="New South Wales"/>
    <s v="Bikes"/>
    <s v="Mountain Bikes"/>
    <s v="Mountain-400-W Silver, 42"/>
    <n v="1"/>
    <n v="420"/>
    <n v="769"/>
    <n v="349"/>
    <n v="420"/>
    <n v="769"/>
  </r>
  <r>
    <x v="4"/>
    <x v="2"/>
    <n v="3"/>
    <s v="December"/>
    <n v="2021"/>
    <x v="2"/>
    <s v="Adults (35-64)"/>
    <s v="F"/>
    <s v="United States"/>
    <s v="California"/>
    <s v="Bikes"/>
    <s v="Mountain Bikes"/>
    <s v="Mountain-200 Black, 46"/>
    <n v="2"/>
    <n v="1252"/>
    <n v="2295"/>
    <n v="2086"/>
    <n v="2504"/>
    <n v="4590"/>
  </r>
  <r>
    <x v="5"/>
    <x v="2"/>
    <n v="3"/>
    <s v="December"/>
    <n v="2021"/>
    <x v="4"/>
    <s v="Youth (&lt;25)"/>
    <s v="F"/>
    <s v="United Kingdom"/>
    <s v="England"/>
    <s v="Bikes"/>
    <s v="Mountain Bikes"/>
    <s v="Mountain-200 Black, 38"/>
    <n v="1"/>
    <n v="1252"/>
    <n v="2295"/>
    <n v="1043"/>
    <n v="1252"/>
    <n v="2295"/>
  </r>
  <r>
    <x v="6"/>
    <x v="2"/>
    <n v="3"/>
    <s v="December"/>
    <n v="2021"/>
    <x v="2"/>
    <s v="Adults (35-64)"/>
    <s v="M"/>
    <s v="United States"/>
    <s v="Washington"/>
    <s v="Bikes"/>
    <s v="Mountain Bikes"/>
    <s v="Mountain-200 Black, 46"/>
    <n v="1"/>
    <n v="1252"/>
    <n v="2295"/>
    <n v="1043"/>
    <n v="1252"/>
    <n v="2295"/>
  </r>
  <r>
    <x v="7"/>
    <x v="3"/>
    <n v="4"/>
    <s v="December"/>
    <n v="2021"/>
    <x v="3"/>
    <s v="Young Adults (25-34)"/>
    <s v="F"/>
    <s v="Australia"/>
    <s v="New South Wales"/>
    <s v="Bikes"/>
    <s v="Mountain Bikes"/>
    <s v="Mountain-400-W Silver, 42"/>
    <n v="4"/>
    <n v="420"/>
    <n v="769"/>
    <n v="1396"/>
    <n v="1680"/>
    <n v="3076"/>
  </r>
  <r>
    <x v="8"/>
    <x v="4"/>
    <n v="5"/>
    <s v="December"/>
    <n v="2021"/>
    <x v="0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x v="9"/>
    <x v="4"/>
    <n v="5"/>
    <s v="December"/>
    <n v="2021"/>
    <x v="5"/>
    <s v="Adults (35-64)"/>
    <s v="M"/>
    <s v="Germany"/>
    <s v="Nordrhein-Westfalen"/>
    <s v="Bikes"/>
    <s v="Mountain Bikes"/>
    <s v="Mountain-200 Black, 38"/>
    <n v="4"/>
    <n v="1252"/>
    <n v="2295"/>
    <n v="4172"/>
    <n v="5008"/>
    <n v="9180"/>
  </r>
  <r>
    <x v="10"/>
    <x v="4"/>
    <n v="5"/>
    <s v="December"/>
    <n v="2021"/>
    <x v="6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x v="11"/>
    <x v="4"/>
    <n v="5"/>
    <s v="December"/>
    <n v="2021"/>
    <x v="2"/>
    <s v="Adults (35-64)"/>
    <s v="F"/>
    <s v="United States"/>
    <s v="California"/>
    <s v="Bikes"/>
    <s v="Mountain Bikes"/>
    <s v="Mountain-200 Black, 46"/>
    <n v="1"/>
    <n v="1252"/>
    <n v="2295"/>
    <n v="1043"/>
    <n v="1252"/>
    <n v="2295"/>
  </r>
  <r>
    <x v="12"/>
    <x v="5"/>
    <n v="6"/>
    <s v="December"/>
    <n v="2021"/>
    <x v="7"/>
    <s v="Youth (&lt;25)"/>
    <s v="M"/>
    <s v="United Kingdom"/>
    <s v="England"/>
    <s v="Bikes"/>
    <s v="Mountain Bikes"/>
    <s v="Mountain-400-W Silver, 46"/>
    <n v="3"/>
    <n v="420"/>
    <n v="769"/>
    <n v="1047"/>
    <n v="1260"/>
    <n v="2307"/>
  </r>
  <r>
    <x v="13"/>
    <x v="5"/>
    <n v="6"/>
    <s v="December"/>
    <n v="2021"/>
    <x v="8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x v="14"/>
    <x v="5"/>
    <n v="6"/>
    <s v="December"/>
    <n v="2021"/>
    <x v="9"/>
    <s v="Adults (35-64)"/>
    <s v="M"/>
    <s v="Australia"/>
    <s v="New South Wales"/>
    <s v="Bikes"/>
    <s v="Mountain Bikes"/>
    <s v="Mountain-200 Black, 42"/>
    <n v="1"/>
    <n v="1252"/>
    <n v="2295"/>
    <n v="1043"/>
    <n v="1252"/>
    <n v="2295"/>
  </r>
  <r>
    <x v="15"/>
    <x v="5"/>
    <n v="6"/>
    <s v="December"/>
    <n v="2021"/>
    <x v="10"/>
    <s v="Adults (35-64)"/>
    <s v="M"/>
    <s v="United Kingdom"/>
    <s v="England"/>
    <s v="Bikes"/>
    <s v="Mountain Bikes"/>
    <s v="Mountain-200 Silver, 38"/>
    <n v="1"/>
    <n v="1266"/>
    <n v="2320"/>
    <n v="1054"/>
    <n v="1266"/>
    <n v="2320"/>
  </r>
  <r>
    <x v="16"/>
    <x v="6"/>
    <n v="7"/>
    <s v="December"/>
    <n v="2021"/>
    <x v="11"/>
    <s v="Young Adults (25-34)"/>
    <s v="M"/>
    <s v="United States"/>
    <s v="California"/>
    <s v="Bikes"/>
    <s v="Mountain Bikes"/>
    <s v="Mountain-400-W Silver, 38"/>
    <n v="4"/>
    <n v="420"/>
    <n v="769"/>
    <n v="1396"/>
    <n v="1680"/>
    <n v="3076"/>
  </r>
  <r>
    <x v="17"/>
    <x v="6"/>
    <n v="7"/>
    <s v="December"/>
    <n v="2021"/>
    <x v="12"/>
    <s v="Adults (35-64)"/>
    <s v="M"/>
    <s v="United States"/>
    <s v="California"/>
    <s v="Bikes"/>
    <s v="Mountain Bikes"/>
    <s v="Mountain-200 Silver, 42"/>
    <n v="2"/>
    <n v="1266"/>
    <n v="2320"/>
    <n v="2108"/>
    <n v="2532"/>
    <n v="4640"/>
  </r>
  <r>
    <x v="18"/>
    <x v="7"/>
    <n v="8"/>
    <s v="December"/>
    <n v="2021"/>
    <x v="13"/>
    <s v="Youth (&lt;25)"/>
    <s v="F"/>
    <s v="Australia"/>
    <s v="New South Wales"/>
    <s v="Bikes"/>
    <s v="Mountain Bikes"/>
    <s v="Mountain-500 Silver, 42"/>
    <n v="4"/>
    <n v="308"/>
    <n v="565"/>
    <n v="1028"/>
    <n v="1232"/>
    <n v="2260"/>
  </r>
  <r>
    <x v="19"/>
    <x v="7"/>
    <n v="8"/>
    <s v="December"/>
    <n v="2021"/>
    <x v="11"/>
    <s v="Young Adults (25-34)"/>
    <s v="F"/>
    <s v="Canada"/>
    <s v="British Columbia"/>
    <s v="Bikes"/>
    <s v="Mountain Bikes"/>
    <s v="Mountain-200 Silver, 38"/>
    <n v="4"/>
    <n v="1266"/>
    <n v="2320"/>
    <n v="4216"/>
    <n v="5064"/>
    <n v="9280"/>
  </r>
  <r>
    <x v="20"/>
    <x v="7"/>
    <n v="8"/>
    <s v="December"/>
    <n v="2021"/>
    <x v="0"/>
    <s v="Adults (35-64)"/>
    <s v="F"/>
    <s v="United States"/>
    <s v="Oregon"/>
    <s v="Bikes"/>
    <s v="Mountain Bikes"/>
    <s v="Mountain-500 Black, 42"/>
    <n v="2"/>
    <n v="1252"/>
    <n v="2295"/>
    <n v="2086"/>
    <n v="2504"/>
    <n v="4590"/>
  </r>
  <r>
    <x v="21"/>
    <x v="7"/>
    <n v="8"/>
    <s v="December"/>
    <n v="2021"/>
    <x v="6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x v="22"/>
    <x v="8"/>
    <n v="9"/>
    <s v="December"/>
    <n v="2021"/>
    <x v="14"/>
    <s v="Young Adults (25-34)"/>
    <s v="F"/>
    <s v="Australia"/>
    <s v="Victoria"/>
    <s v="Bikes"/>
    <s v="Mountain Bikes"/>
    <s v="Mountain-100 Black, 38"/>
    <n v="2"/>
    <n v="1898"/>
    <n v="3375"/>
    <n v="2954"/>
    <n v="3796"/>
    <n v="6750"/>
  </r>
  <r>
    <x v="23"/>
    <x v="8"/>
    <n v="9"/>
    <s v="December"/>
    <n v="2021"/>
    <x v="15"/>
    <s v="Adults (35-64)"/>
    <s v="F"/>
    <s v="Germany"/>
    <s v="Hamburg"/>
    <s v="Bikes"/>
    <s v="Mountain Bikes"/>
    <s v="Mountain-200 Silver, 42"/>
    <n v="1"/>
    <n v="1266"/>
    <n v="2320"/>
    <n v="1054"/>
    <n v="1266"/>
    <n v="2320"/>
  </r>
  <r>
    <x v="24"/>
    <x v="9"/>
    <n v="10"/>
    <s v="December"/>
    <n v="2021"/>
    <x v="16"/>
    <s v="Young Adults (25-34)"/>
    <s v="F"/>
    <s v="United States"/>
    <s v="California"/>
    <s v="Bikes"/>
    <s v="Mountain Bikes"/>
    <s v="Mountain-200 Black, 42"/>
    <n v="2"/>
    <n v="1252"/>
    <n v="2295"/>
    <n v="2086"/>
    <n v="2504"/>
    <n v="4590"/>
  </r>
  <r>
    <x v="25"/>
    <x v="9"/>
    <n v="10"/>
    <s v="December"/>
    <n v="2021"/>
    <x v="17"/>
    <s v="Adults (35-64)"/>
    <s v="M"/>
    <s v="Australia"/>
    <s v="New South Wales"/>
    <s v="Bikes"/>
    <s v="Mountain Bikes"/>
    <s v="Mountain-200 Black, 42"/>
    <n v="2"/>
    <n v="1252"/>
    <n v="2295"/>
    <n v="2086"/>
    <n v="2504"/>
    <n v="4590"/>
  </r>
  <r>
    <x v="26"/>
    <x v="9"/>
    <n v="10"/>
    <s v="December"/>
    <n v="2021"/>
    <x v="18"/>
    <s v="Young Adults (25-34)"/>
    <s v="M"/>
    <s v="United Kingdom"/>
    <s v="England"/>
    <s v="Bikes"/>
    <s v="Mountain Bikes"/>
    <s v="Mountain-200 Black, 38"/>
    <n v="1"/>
    <n v="1252"/>
    <n v="2295"/>
    <n v="1043"/>
    <n v="1252"/>
    <n v="2295"/>
  </r>
  <r>
    <x v="27"/>
    <x v="9"/>
    <n v="10"/>
    <s v="December"/>
    <n v="2021"/>
    <x v="16"/>
    <s v="Young Adults (25-34)"/>
    <s v="M"/>
    <s v="United States"/>
    <s v="California"/>
    <s v="Bikes"/>
    <s v="Mountain Bikes"/>
    <s v="Mountain-500 Black, 40"/>
    <n v="1"/>
    <n v="295"/>
    <n v="540"/>
    <n v="245"/>
    <n v="295"/>
    <n v="540"/>
  </r>
  <r>
    <x v="28"/>
    <x v="9"/>
    <n v="10"/>
    <s v="December"/>
    <n v="2021"/>
    <x v="16"/>
    <s v="Young Adults (25-34)"/>
    <s v="F"/>
    <s v="United States"/>
    <s v="Washington"/>
    <s v="Bikes"/>
    <s v="Mountain Bikes"/>
    <s v="Mountain-100 Silver, 44"/>
    <n v="1"/>
    <n v="1912"/>
    <n v="3400"/>
    <n v="1488"/>
    <n v="1912"/>
    <n v="3400"/>
  </r>
  <r>
    <x v="29"/>
    <x v="9"/>
    <n v="10"/>
    <s v="December"/>
    <n v="2021"/>
    <x v="12"/>
    <s v="Adults (35-64)"/>
    <s v="M"/>
    <s v="Australia"/>
    <s v="New South Wales"/>
    <s v="Bikes"/>
    <s v="Mountain Bikes"/>
    <s v="Mountain-200 Black, 38"/>
    <n v="1"/>
    <n v="1252"/>
    <n v="2295"/>
    <n v="1043"/>
    <n v="1252"/>
    <n v="2295"/>
  </r>
  <r>
    <x v="30"/>
    <x v="10"/>
    <n v="11"/>
    <s v="December"/>
    <n v="2021"/>
    <x v="4"/>
    <s v="Youth (&lt;25)"/>
    <s v="F"/>
    <s v="France"/>
    <s v="Seine (Paris)"/>
    <s v="Bikes"/>
    <s v="Mountain Bikes"/>
    <s v="Mountain-200 Black, 38"/>
    <n v="3"/>
    <n v="1252"/>
    <n v="2295"/>
    <n v="3129"/>
    <n v="3756"/>
    <n v="6885"/>
  </r>
  <r>
    <x v="31"/>
    <x v="10"/>
    <n v="11"/>
    <s v="December"/>
    <n v="2021"/>
    <x v="15"/>
    <s v="Adults (35-64)"/>
    <s v="F"/>
    <s v="Australia"/>
    <s v="New South Wales"/>
    <s v="Bikes"/>
    <s v="Mountain Bikes"/>
    <s v="Mountain-400-W Silver, 38"/>
    <n v="2"/>
    <n v="420"/>
    <n v="769"/>
    <n v="698"/>
    <n v="840"/>
    <n v="1538"/>
  </r>
  <r>
    <x v="32"/>
    <x v="10"/>
    <n v="11"/>
    <s v="December"/>
    <n v="2021"/>
    <x v="8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x v="33"/>
    <x v="10"/>
    <n v="11"/>
    <s v="December"/>
    <n v="2021"/>
    <x v="2"/>
    <s v="Adults (35-64)"/>
    <s v="M"/>
    <s v="United States"/>
    <s v="California"/>
    <s v="Bikes"/>
    <s v="Mountain Bikes"/>
    <s v="Mountain-400-W Silver, 46"/>
    <n v="1"/>
    <n v="420"/>
    <n v="769"/>
    <n v="349"/>
    <n v="420"/>
    <n v="769"/>
  </r>
  <r>
    <x v="34"/>
    <x v="10"/>
    <n v="11"/>
    <s v="December"/>
    <n v="2021"/>
    <x v="12"/>
    <s v="Adults (35-64)"/>
    <s v="F"/>
    <s v="United States"/>
    <s v="California"/>
    <s v="Bikes"/>
    <s v="Mountain Bikes"/>
    <s v="Mountain-200 Silver, 38"/>
    <n v="1"/>
    <n v="1266"/>
    <n v="2320"/>
    <n v="1054"/>
    <n v="1266"/>
    <n v="2320"/>
  </r>
  <r>
    <x v="35"/>
    <x v="11"/>
    <n v="12"/>
    <s v="December"/>
    <n v="2021"/>
    <x v="9"/>
    <s v="Adults (35-64)"/>
    <s v="F"/>
    <s v="Australia"/>
    <s v="New South Wales"/>
    <s v="Bikes"/>
    <s v="Mountain Bikes"/>
    <s v="Mountain-200 Silver, 42"/>
    <n v="4"/>
    <n v="1266"/>
    <n v="2320"/>
    <n v="4216"/>
    <n v="5064"/>
    <n v="9280"/>
  </r>
  <r>
    <x v="36"/>
    <x v="11"/>
    <n v="12"/>
    <s v="December"/>
    <n v="2021"/>
    <x v="2"/>
    <s v="Adults (35-64)"/>
    <s v="M"/>
    <s v="United States"/>
    <s v="California"/>
    <s v="Bikes"/>
    <s v="Mountain Bikes"/>
    <s v="Mountain-400-W Silver, 46"/>
    <n v="4"/>
    <n v="420"/>
    <n v="769"/>
    <n v="1396"/>
    <n v="1680"/>
    <n v="3076"/>
  </r>
  <r>
    <x v="37"/>
    <x v="11"/>
    <n v="12"/>
    <s v="December"/>
    <n v="2021"/>
    <x v="16"/>
    <s v="Young Adults (25-34)"/>
    <s v="M"/>
    <s v="Australia"/>
    <s v="New South Wales"/>
    <s v="Bikes"/>
    <s v="Mountain Bikes"/>
    <s v="Mountain-200 Black, 38"/>
    <n v="2"/>
    <n v="1252"/>
    <n v="2295"/>
    <n v="2086"/>
    <n v="2504"/>
    <n v="4590"/>
  </r>
  <r>
    <x v="38"/>
    <x v="11"/>
    <n v="12"/>
    <s v="December"/>
    <n v="2021"/>
    <x v="6"/>
    <s v="Adults (35-64)"/>
    <s v="F"/>
    <s v="Australia"/>
    <s v="Victoria"/>
    <s v="Bikes"/>
    <s v="Mountain Bikes"/>
    <s v="Mountain-200 Silver, 42"/>
    <n v="1"/>
    <n v="1266"/>
    <n v="2320"/>
    <n v="1054"/>
    <n v="1266"/>
    <n v="2320"/>
  </r>
  <r>
    <x v="39"/>
    <x v="11"/>
    <n v="12"/>
    <s v="December"/>
    <n v="2021"/>
    <x v="12"/>
    <s v="Adults (35-64)"/>
    <s v="F"/>
    <s v="United States"/>
    <s v="Washington"/>
    <s v="Bikes"/>
    <s v="Mountain Bikes"/>
    <s v="Mountain-200 Silver, 42"/>
    <n v="1"/>
    <n v="1266"/>
    <n v="2320"/>
    <n v="1054"/>
    <n v="1266"/>
    <n v="2320"/>
  </r>
  <r>
    <x v="40"/>
    <x v="12"/>
    <n v="13"/>
    <s v="December"/>
    <n v="2021"/>
    <x v="19"/>
    <s v="Young Adults (25-34)"/>
    <s v="F"/>
    <s v="Australia"/>
    <s v="Queensland"/>
    <s v="Bikes"/>
    <s v="Mountain Bikes"/>
    <s v="Mountain-200 Silver, 42"/>
    <n v="3"/>
    <n v="1266"/>
    <n v="2320"/>
    <n v="3162"/>
    <n v="3798"/>
    <n v="6960"/>
  </r>
  <r>
    <x v="41"/>
    <x v="12"/>
    <n v="13"/>
    <s v="December"/>
    <n v="2021"/>
    <x v="17"/>
    <s v="Adults (35-64)"/>
    <s v="F"/>
    <s v="United States"/>
    <s v="California"/>
    <s v="Bikes"/>
    <s v="Mountain Bikes"/>
    <s v="Mountain-500 Silver, 40"/>
    <n v="1"/>
    <n v="308"/>
    <n v="565"/>
    <n v="257"/>
    <n v="308"/>
    <n v="565"/>
  </r>
  <r>
    <x v="42"/>
    <x v="12"/>
    <n v="13"/>
    <s v="December"/>
    <n v="2021"/>
    <x v="1"/>
    <s v="Adults (35-64)"/>
    <s v="F"/>
    <s v="United Kingdom"/>
    <s v="England"/>
    <s v="Bikes"/>
    <s v="Mountain Bikes"/>
    <s v="Mountain-200 Black, 38"/>
    <n v="1"/>
    <n v="1252"/>
    <n v="2295"/>
    <n v="1043"/>
    <n v="1252"/>
    <n v="2295"/>
  </r>
  <r>
    <x v="43"/>
    <x v="12"/>
    <n v="13"/>
    <s v="December"/>
    <n v="2021"/>
    <x v="20"/>
    <s v="Adults (35-64)"/>
    <s v="M"/>
    <s v="United Kingdom"/>
    <s v="England"/>
    <s v="Bikes"/>
    <s v="Mountain Bikes"/>
    <s v="Mountain-200 Black, 38"/>
    <n v="1"/>
    <n v="1252"/>
    <n v="2295"/>
    <n v="1043"/>
    <n v="1252"/>
    <n v="2295"/>
  </r>
  <r>
    <x v="44"/>
    <x v="13"/>
    <n v="14"/>
    <s v="December"/>
    <n v="2021"/>
    <x v="11"/>
    <s v="Young Adults (25-34)"/>
    <s v="F"/>
    <s v="United States"/>
    <s v="Washington"/>
    <s v="Bikes"/>
    <s v="Mountain Bikes"/>
    <s v="Mountain-200 Silver, 38"/>
    <n v="2"/>
    <n v="1266"/>
    <n v="2320"/>
    <n v="2108"/>
    <n v="2532"/>
    <n v="4640"/>
  </r>
  <r>
    <x v="45"/>
    <x v="13"/>
    <n v="14"/>
    <s v="December"/>
    <n v="2021"/>
    <x v="19"/>
    <s v="Young Adults (25-34)"/>
    <s v="M"/>
    <s v="United States"/>
    <s v="California"/>
    <s v="Bikes"/>
    <s v="Mountain Bikes"/>
    <s v="Mountain-200 Black, 46"/>
    <n v="1"/>
    <n v="1252"/>
    <n v="2295"/>
    <n v="1043"/>
    <n v="1252"/>
    <n v="2295"/>
  </r>
  <r>
    <x v="46"/>
    <x v="13"/>
    <n v="14"/>
    <s v="December"/>
    <n v="2021"/>
    <x v="19"/>
    <s v="Young Adults (25-34)"/>
    <s v="F"/>
    <s v="Australia"/>
    <s v="Victoria"/>
    <s v="Bikes"/>
    <s v="Mountain Bikes"/>
    <s v="Mountain-400-W Silver, 46"/>
    <n v="1"/>
    <n v="420"/>
    <n v="769"/>
    <n v="349"/>
    <n v="420"/>
    <n v="769"/>
  </r>
  <r>
    <x v="47"/>
    <x v="14"/>
    <n v="15"/>
    <s v="December"/>
    <n v="2021"/>
    <x v="21"/>
    <s v="Young Adults (25-34)"/>
    <s v="F"/>
    <s v="United States"/>
    <s v="California"/>
    <s v="Bikes"/>
    <s v="Mountain Bikes"/>
    <s v="Mountain-200 Silver, 42"/>
    <n v="1"/>
    <n v="1266"/>
    <n v="2320"/>
    <n v="1054"/>
    <n v="1266"/>
    <n v="2320"/>
  </r>
  <r>
    <x v="48"/>
    <x v="15"/>
    <n v="16"/>
    <s v="December"/>
    <n v="2021"/>
    <x v="14"/>
    <s v="Young Adults (25-34)"/>
    <s v="F"/>
    <s v="Australia"/>
    <s v="New South Wales"/>
    <s v="Bikes"/>
    <s v="Mountain Bikes"/>
    <s v="Mountain-200 Black, 38"/>
    <n v="2"/>
    <n v="1252"/>
    <n v="2295"/>
    <n v="2086"/>
    <n v="2504"/>
    <n v="4590"/>
  </r>
  <r>
    <x v="49"/>
    <x v="15"/>
    <n v="16"/>
    <s v="December"/>
    <n v="2021"/>
    <x v="12"/>
    <s v="Adults (35-64)"/>
    <s v="M"/>
    <s v="Australia"/>
    <s v="New South Wales"/>
    <s v="Bikes"/>
    <s v="Mountain Bikes"/>
    <s v="Mountain-200 Black, 38"/>
    <n v="2"/>
    <n v="1252"/>
    <n v="2295"/>
    <n v="2086"/>
    <n v="2504"/>
    <n v="4590"/>
  </r>
  <r>
    <x v="50"/>
    <x v="15"/>
    <n v="16"/>
    <s v="December"/>
    <n v="2021"/>
    <x v="8"/>
    <s v="Young Adults (25-34)"/>
    <s v="F"/>
    <s v="France"/>
    <s v="Seine et Marne"/>
    <s v="Bikes"/>
    <s v="Mountain Bikes"/>
    <s v="Mountain-200 Silver, 46"/>
    <n v="1"/>
    <n v="1266"/>
    <n v="2320"/>
    <n v="1054"/>
    <n v="1266"/>
    <n v="2320"/>
  </r>
  <r>
    <x v="51"/>
    <x v="16"/>
    <n v="17"/>
    <s v="December"/>
    <n v="2021"/>
    <x v="2"/>
    <s v="Adults (35-64)"/>
    <s v="F"/>
    <s v="United States"/>
    <s v="Washington"/>
    <s v="Bikes"/>
    <s v="Mountain Bikes"/>
    <s v="Mountain-200 Silver, 38"/>
    <n v="2"/>
    <n v="1266"/>
    <n v="2320"/>
    <n v="2108"/>
    <n v="2532"/>
    <n v="4640"/>
  </r>
  <r>
    <x v="52"/>
    <x v="16"/>
    <n v="17"/>
    <s v="December"/>
    <n v="2021"/>
    <x v="3"/>
    <s v="Young Adults (25-34)"/>
    <s v="M"/>
    <s v="Australia"/>
    <s v="New South Wales"/>
    <s v="Bikes"/>
    <s v="Mountain Bikes"/>
    <s v="Mountain-400-W Silver, 42"/>
    <n v="1"/>
    <n v="420"/>
    <n v="769"/>
    <n v="349"/>
    <n v="420"/>
    <n v="769"/>
  </r>
  <r>
    <x v="53"/>
    <x v="16"/>
    <n v="17"/>
    <s v="December"/>
    <n v="2021"/>
    <x v="5"/>
    <s v="Adults (35-64)"/>
    <s v="F"/>
    <s v="Germany"/>
    <s v="Nordrhein-Westfalen"/>
    <s v="Bikes"/>
    <s v="Mountain Bikes"/>
    <s v="Mountain-200 Silver, 46"/>
    <n v="1"/>
    <n v="1266"/>
    <n v="2320"/>
    <n v="1054"/>
    <n v="1266"/>
    <n v="2320"/>
  </r>
  <r>
    <x v="54"/>
    <x v="17"/>
    <n v="18"/>
    <s v="December"/>
    <n v="2021"/>
    <x v="6"/>
    <s v="Adults (35-64)"/>
    <s v="F"/>
    <s v="Australia"/>
    <s v="New South Wales"/>
    <s v="Bikes"/>
    <s v="Mountain Bikes"/>
    <s v="Mountain-500 Silver, 42"/>
    <n v="4"/>
    <n v="308"/>
    <n v="565"/>
    <n v="1028"/>
    <n v="1232"/>
    <n v="2260"/>
  </r>
  <r>
    <x v="55"/>
    <x v="17"/>
    <n v="18"/>
    <s v="December"/>
    <n v="2021"/>
    <x v="12"/>
    <s v="Adults (35-64)"/>
    <s v="F"/>
    <s v="Germany"/>
    <s v="Nordrhein-Westfalen"/>
    <s v="Bikes"/>
    <s v="Mountain Bikes"/>
    <s v="Mountain-200 Silver, 46"/>
    <n v="4"/>
    <n v="1266"/>
    <n v="2320"/>
    <n v="4216"/>
    <n v="5064"/>
    <n v="9280"/>
  </r>
  <r>
    <x v="56"/>
    <x v="17"/>
    <n v="18"/>
    <s v="December"/>
    <n v="2021"/>
    <x v="4"/>
    <s v="Youth (&lt;25)"/>
    <s v="F"/>
    <s v="France"/>
    <s v="Seine Saint Denis"/>
    <s v="Bikes"/>
    <s v="Mountain Bikes"/>
    <s v="Mountain-200 Silver, 38"/>
    <n v="3"/>
    <n v="1266"/>
    <n v="2320"/>
    <n v="3162"/>
    <n v="3798"/>
    <n v="6960"/>
  </r>
  <r>
    <x v="57"/>
    <x v="17"/>
    <n v="18"/>
    <s v="December"/>
    <n v="2021"/>
    <x v="18"/>
    <s v="Young Adults (25-34)"/>
    <s v="F"/>
    <s v="United Kingdom"/>
    <s v="England"/>
    <s v="Bikes"/>
    <s v="Mountain Bikes"/>
    <s v="Mountain-400-W Silver, 42"/>
    <n v="3"/>
    <n v="420"/>
    <n v="769"/>
    <n v="1047"/>
    <n v="1260"/>
    <n v="2307"/>
  </r>
  <r>
    <x v="58"/>
    <x v="17"/>
    <n v="18"/>
    <s v="December"/>
    <n v="2021"/>
    <x v="0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x v="59"/>
    <x v="17"/>
    <n v="18"/>
    <s v="December"/>
    <n v="2021"/>
    <x v="18"/>
    <s v="Young Adults (25-34)"/>
    <s v="M"/>
    <s v="France"/>
    <s v="Seine (Paris)"/>
    <s v="Bikes"/>
    <s v="Mountain Bikes"/>
    <s v="Mountain-200 Black, 46"/>
    <n v="1"/>
    <n v="1252"/>
    <n v="2295"/>
    <n v="1043"/>
    <n v="1252"/>
    <n v="2295"/>
  </r>
  <r>
    <x v="60"/>
    <x v="17"/>
    <n v="18"/>
    <s v="December"/>
    <n v="2021"/>
    <x v="9"/>
    <s v="Adults (35-64)"/>
    <s v="M"/>
    <s v="United States"/>
    <s v="Washington"/>
    <s v="Bikes"/>
    <s v="Mountain Bikes"/>
    <s v="Mountain-200 Silver, 38"/>
    <n v="1"/>
    <n v="1266"/>
    <n v="2320"/>
    <n v="1054"/>
    <n v="1266"/>
    <n v="2320"/>
  </r>
  <r>
    <x v="61"/>
    <x v="18"/>
    <n v="19"/>
    <s v="December"/>
    <n v="2021"/>
    <x v="22"/>
    <s v="Youth (&lt;25)"/>
    <s v="M"/>
    <s v="France"/>
    <s v="Nord"/>
    <s v="Bikes"/>
    <s v="Mountain Bikes"/>
    <s v="Mountain-200 Silver, 46"/>
    <n v="4"/>
    <n v="1266"/>
    <n v="2320"/>
    <n v="4216"/>
    <n v="5064"/>
    <n v="9280"/>
  </r>
  <r>
    <x v="62"/>
    <x v="18"/>
    <n v="19"/>
    <s v="December"/>
    <n v="2021"/>
    <x v="13"/>
    <s v="Youth (&lt;25)"/>
    <s v="F"/>
    <s v="Australia"/>
    <s v="Victoria"/>
    <s v="Bikes"/>
    <s v="Mountain Bikes"/>
    <s v="Mountain-500 Black, 44"/>
    <n v="4"/>
    <n v="295"/>
    <n v="540"/>
    <n v="980"/>
    <n v="1180"/>
    <n v="2160"/>
  </r>
  <r>
    <x v="63"/>
    <x v="18"/>
    <n v="19"/>
    <s v="December"/>
    <n v="2021"/>
    <x v="23"/>
    <s v="Young Adults (25-34)"/>
    <s v="M"/>
    <s v="France"/>
    <s v="Seine (Paris)"/>
    <s v="Bikes"/>
    <s v="Mountain Bikes"/>
    <s v="Mountain-200 Black, 38"/>
    <n v="4"/>
    <n v="1252"/>
    <n v="2295"/>
    <n v="4172"/>
    <n v="5008"/>
    <n v="9180"/>
  </r>
  <r>
    <x v="64"/>
    <x v="18"/>
    <n v="19"/>
    <s v="December"/>
    <n v="2021"/>
    <x v="6"/>
    <s v="Adults (35-64)"/>
    <s v="F"/>
    <s v="United States"/>
    <s v="Oregon"/>
    <s v="Bikes"/>
    <s v="Mountain Bikes"/>
    <s v="Mountain-100 Black, 48"/>
    <n v="4"/>
    <n v="1898"/>
    <n v="3375"/>
    <n v="5908"/>
    <n v="7592"/>
    <n v="13500"/>
  </r>
  <r>
    <x v="65"/>
    <x v="18"/>
    <n v="19"/>
    <s v="December"/>
    <n v="2021"/>
    <x v="2"/>
    <s v="Adults (35-64)"/>
    <s v="M"/>
    <s v="United States"/>
    <s v="Oregon"/>
    <s v="Bikes"/>
    <s v="Mountain Bikes"/>
    <s v="Mountain-200 Black, 38"/>
    <n v="4"/>
    <n v="1252"/>
    <n v="2295"/>
    <n v="4172"/>
    <n v="5008"/>
    <n v="9180"/>
  </r>
  <r>
    <x v="66"/>
    <x v="18"/>
    <n v="19"/>
    <s v="December"/>
    <n v="2021"/>
    <x v="0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x v="67"/>
    <x v="18"/>
    <n v="19"/>
    <s v="December"/>
    <n v="2021"/>
    <x v="24"/>
    <s v="Adults (35-64)"/>
    <s v="F"/>
    <s v="Australia"/>
    <s v="Queensland"/>
    <s v="Bikes"/>
    <s v="Mountain Bikes"/>
    <s v="Mountain-200 Black, 46"/>
    <n v="4"/>
    <n v="1252"/>
    <n v="2295"/>
    <n v="4172"/>
    <n v="5008"/>
    <n v="9180"/>
  </r>
  <r>
    <x v="68"/>
    <x v="18"/>
    <n v="19"/>
    <s v="December"/>
    <n v="2021"/>
    <x v="25"/>
    <s v="Youth (&lt;25)"/>
    <s v="M"/>
    <s v="Australia"/>
    <s v="South Australia"/>
    <s v="Bikes"/>
    <s v="Mountain Bikes"/>
    <s v="Mountain-500 Black, 40"/>
    <n v="2"/>
    <n v="295"/>
    <n v="540"/>
    <n v="490"/>
    <n v="590"/>
    <n v="1080"/>
  </r>
  <r>
    <x v="69"/>
    <x v="18"/>
    <n v="19"/>
    <s v="December"/>
    <n v="2021"/>
    <x v="26"/>
    <s v="Adults (35-64)"/>
    <s v="F"/>
    <s v="Germany"/>
    <s v="Hessen"/>
    <s v="Bikes"/>
    <s v="Mountain Bikes"/>
    <s v="Mountain-200 Black, 46"/>
    <n v="2"/>
    <n v="1252"/>
    <n v="2295"/>
    <n v="2086"/>
    <n v="2504"/>
    <n v="4590"/>
  </r>
  <r>
    <x v="70"/>
    <x v="18"/>
    <n v="19"/>
    <s v="December"/>
    <n v="2021"/>
    <x v="0"/>
    <s v="Adults (35-64)"/>
    <s v="F"/>
    <s v="United States"/>
    <s v="Washington"/>
    <s v="Bikes"/>
    <s v="Mountain Bikes"/>
    <s v="Mountain-200 Silver, 38"/>
    <n v="11"/>
    <n v="1266"/>
    <n v="2320"/>
    <n v="1054"/>
    <n v="13926"/>
    <n v="25520"/>
  </r>
  <r>
    <x v="71"/>
    <x v="19"/>
    <n v="20"/>
    <s v="December"/>
    <n v="2021"/>
    <x v="14"/>
    <s v="Young Adults (25-34)"/>
    <s v="F"/>
    <s v="Australia"/>
    <s v="Victoria"/>
    <s v="Bikes"/>
    <s v="Mountain Bikes"/>
    <s v="Mountain-100 Black, 38"/>
    <n v="4"/>
    <n v="1898"/>
    <n v="3375"/>
    <n v="5908"/>
    <n v="7592"/>
    <n v="13500"/>
  </r>
  <r>
    <x v="72"/>
    <x v="19"/>
    <n v="20"/>
    <s v="December"/>
    <n v="2021"/>
    <x v="27"/>
    <s v="Adults (35-64)"/>
    <s v="M"/>
    <s v="Australia"/>
    <s v="Queensland"/>
    <s v="Bikes"/>
    <s v="Mountain Bikes"/>
    <s v="Mountain-200 Black, 46"/>
    <n v="4"/>
    <n v="1252"/>
    <n v="2295"/>
    <n v="4172"/>
    <n v="5008"/>
    <n v="9180"/>
  </r>
  <r>
    <x v="73"/>
    <x v="19"/>
    <n v="20"/>
    <s v="December"/>
    <n v="2021"/>
    <x v="21"/>
    <s v="Young Adults (25-34)"/>
    <s v="M"/>
    <s v="Canada"/>
    <s v="British Columbia"/>
    <s v="Bikes"/>
    <s v="Mountain Bikes"/>
    <s v="Mountain-500 Black, 52"/>
    <n v="3"/>
    <n v="295"/>
    <n v="540"/>
    <n v="735"/>
    <n v="885"/>
    <n v="1620"/>
  </r>
  <r>
    <x v="74"/>
    <x v="19"/>
    <n v="20"/>
    <s v="December"/>
    <n v="2021"/>
    <x v="6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x v="75"/>
    <x v="19"/>
    <n v="20"/>
    <s v="December"/>
    <n v="2021"/>
    <x v="6"/>
    <s v="Adults (35-64)"/>
    <s v="M"/>
    <s v="Australia"/>
    <s v="Victoria"/>
    <s v="Bikes"/>
    <s v="Mountain Bikes"/>
    <s v="Mountain-200 Silver, 38"/>
    <n v="1"/>
    <n v="1266"/>
    <n v="2320"/>
    <n v="1054"/>
    <n v="1266"/>
    <n v="2320"/>
  </r>
  <r>
    <x v="76"/>
    <x v="20"/>
    <n v="21"/>
    <s v="December"/>
    <n v="2021"/>
    <x v="18"/>
    <s v="Young Adults (25-34)"/>
    <s v="M"/>
    <s v="France"/>
    <s v="Somme"/>
    <s v="Bikes"/>
    <s v="Mountain Bikes"/>
    <s v="Mountain-200 Silver, 38"/>
    <n v="3"/>
    <n v="1266"/>
    <n v="2320"/>
    <n v="3162"/>
    <n v="3798"/>
    <n v="6960"/>
  </r>
  <r>
    <x v="77"/>
    <x v="20"/>
    <n v="21"/>
    <s v="December"/>
    <n v="2021"/>
    <x v="7"/>
    <s v="Youth (&lt;25)"/>
    <s v="M"/>
    <s v="United Kingdom"/>
    <s v="England"/>
    <s v="Bikes"/>
    <s v="Mountain Bikes"/>
    <s v="Mountain-400-W Silver, 46"/>
    <n v="2"/>
    <n v="420"/>
    <n v="769"/>
    <n v="698"/>
    <n v="840"/>
    <n v="1538"/>
  </r>
  <r>
    <x v="78"/>
    <x v="21"/>
    <n v="22"/>
    <s v="December"/>
    <n v="2021"/>
    <x v="11"/>
    <s v="Young Adults (25-34)"/>
    <s v="F"/>
    <s v="United States"/>
    <s v="Washington"/>
    <s v="Bikes"/>
    <s v="Mountain Bikes"/>
    <s v="Mountain-200 Silver, 38"/>
    <n v="3"/>
    <n v="1266"/>
    <n v="2320"/>
    <n v="3162"/>
    <n v="3798"/>
    <n v="6960"/>
  </r>
  <r>
    <x v="79"/>
    <x v="21"/>
    <n v="22"/>
    <s v="December"/>
    <n v="2021"/>
    <x v="15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x v="80"/>
    <x v="21"/>
    <n v="22"/>
    <s v="December"/>
    <n v="2021"/>
    <x v="13"/>
    <s v="Youth (&lt;25)"/>
    <s v="F"/>
    <s v="Australia"/>
    <s v="New South Wales"/>
    <s v="Bikes"/>
    <s v="Mountain Bikes"/>
    <s v="Mountain-500 Silver, 42"/>
    <n v="1"/>
    <n v="308"/>
    <n v="565"/>
    <n v="257"/>
    <n v="308"/>
    <n v="565"/>
  </r>
  <r>
    <x v="81"/>
    <x v="21"/>
    <n v="22"/>
    <s v="December"/>
    <n v="2021"/>
    <x v="23"/>
    <s v="Young Adults (25-34)"/>
    <s v="M"/>
    <s v="France"/>
    <s v="Seine (Paris)"/>
    <s v="Bikes"/>
    <s v="Mountain Bikes"/>
    <s v="Mountain-200 Black, 38"/>
    <n v="1"/>
    <n v="1252"/>
    <n v="2295"/>
    <n v="1043"/>
    <n v="1252"/>
    <n v="2295"/>
  </r>
  <r>
    <x v="82"/>
    <x v="21"/>
    <n v="22"/>
    <s v="December"/>
    <n v="2021"/>
    <x v="8"/>
    <s v="Young Adults (25-34)"/>
    <s v="F"/>
    <s v="Canada"/>
    <s v="British Columbia"/>
    <s v="Bikes"/>
    <s v="Mountain Bikes"/>
    <s v="Mountain-200 Black, 46"/>
    <n v="1"/>
    <n v="1252"/>
    <n v="2295"/>
    <n v="1043"/>
    <n v="1252"/>
    <n v="2295"/>
  </r>
  <r>
    <x v="83"/>
    <x v="21"/>
    <n v="22"/>
    <s v="December"/>
    <n v="2021"/>
    <x v="15"/>
    <s v="Adults (35-64)"/>
    <s v="M"/>
    <s v="Germany"/>
    <s v="Hessen"/>
    <s v="Bikes"/>
    <s v="Mountain Bikes"/>
    <s v="Mountain-200 Silver, 38"/>
    <n v="1"/>
    <n v="1266"/>
    <n v="2320"/>
    <n v="1054"/>
    <n v="1266"/>
    <n v="2320"/>
  </r>
  <r>
    <x v="84"/>
    <x v="22"/>
    <n v="23"/>
    <s v="December"/>
    <n v="2021"/>
    <x v="11"/>
    <s v="Young Adults (25-34)"/>
    <s v="F"/>
    <s v="United States"/>
    <s v="Oregon"/>
    <s v="Bikes"/>
    <s v="Mountain Bikes"/>
    <s v="Mountain-200 Silver, 42"/>
    <n v="1"/>
    <n v="1266"/>
    <n v="2320"/>
    <n v="1054"/>
    <n v="1266"/>
    <n v="2320"/>
  </r>
  <r>
    <x v="85"/>
    <x v="22"/>
    <n v="23"/>
    <s v="December"/>
    <n v="2021"/>
    <x v="3"/>
    <s v="Young Adults (25-34)"/>
    <s v="F"/>
    <s v="Canada"/>
    <s v="British Columbia"/>
    <s v="Bikes"/>
    <s v="Mountain Bikes"/>
    <s v="Mountain-200 Black, 42"/>
    <n v="1"/>
    <n v="1252"/>
    <n v="2295"/>
    <n v="1043"/>
    <n v="1252"/>
    <n v="2295"/>
  </r>
  <r>
    <x v="86"/>
    <x v="22"/>
    <n v="23"/>
    <s v="December"/>
    <n v="2021"/>
    <x v="6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x v="87"/>
    <x v="23"/>
    <n v="24"/>
    <s v="December"/>
    <n v="2021"/>
    <x v="12"/>
    <s v="Adults (35-64)"/>
    <s v="M"/>
    <s v="Australia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37F4D-BC5D-4AE7-858F-D4D49C924A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A1:D115" firstHeaderRow="2" firstDataRow="2" firstDataCol="3"/>
  <pivotFields count="19">
    <pivotField axis="axisRow" compact="0" outline="0" showAll="0" defaultSubtotal="0">
      <items count="88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axis="axisRow" compact="0" numFmtId="14" outline="0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Row" compact="0" outline="0" showAll="0">
      <items count="29">
        <item x="22"/>
        <item x="25"/>
        <item x="13"/>
        <item x="7"/>
        <item x="4"/>
        <item x="23"/>
        <item x="18"/>
        <item x="8"/>
        <item x="21"/>
        <item x="11"/>
        <item x="3"/>
        <item x="19"/>
        <item x="14"/>
        <item x="16"/>
        <item x="6"/>
        <item x="9"/>
        <item x="2"/>
        <item x="12"/>
        <item x="0"/>
        <item x="17"/>
        <item x="15"/>
        <item x="5"/>
        <item x="1"/>
        <item x="10"/>
        <item x="20"/>
        <item x="26"/>
        <item x="27"/>
        <item x="2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3">
    <field x="1"/>
    <field x="0"/>
    <field x="5"/>
  </rowFields>
  <rowItems count="113">
    <i>
      <x v="18"/>
      <x v="61"/>
      <x/>
    </i>
    <i r="1">
      <x v="62"/>
      <x v="2"/>
    </i>
    <i r="1">
      <x v="63"/>
      <x v="5"/>
    </i>
    <i r="1">
      <x v="64"/>
      <x v="14"/>
    </i>
    <i r="1">
      <x v="65"/>
      <x v="16"/>
    </i>
    <i r="1">
      <x v="66"/>
      <x v="18"/>
    </i>
    <i r="1">
      <x v="67"/>
      <x v="27"/>
    </i>
    <i r="1">
      <x v="68"/>
      <x v="1"/>
    </i>
    <i r="1">
      <x v="69"/>
      <x v="25"/>
    </i>
    <i r="1">
      <x v="70"/>
      <x v="18"/>
    </i>
    <i t="default">
      <x v="18"/>
    </i>
    <i>
      <x v="17"/>
      <x v="54"/>
      <x v="14"/>
    </i>
    <i r="1">
      <x v="55"/>
      <x v="17"/>
    </i>
    <i r="1">
      <x v="56"/>
      <x v="4"/>
    </i>
    <i r="1">
      <x v="57"/>
      <x v="6"/>
    </i>
    <i r="1">
      <x v="58"/>
      <x v="18"/>
    </i>
    <i r="1">
      <x v="59"/>
      <x v="6"/>
    </i>
    <i r="1">
      <x v="60"/>
      <x v="15"/>
    </i>
    <i t="default">
      <x v="17"/>
    </i>
    <i>
      <x v="19"/>
      <x v="71"/>
      <x v="12"/>
    </i>
    <i r="1">
      <x v="72"/>
      <x v="26"/>
    </i>
    <i r="1">
      <x v="73"/>
      <x v="8"/>
    </i>
    <i r="1">
      <x v="74"/>
      <x v="14"/>
    </i>
    <i r="1">
      <x v="75"/>
      <x v="14"/>
    </i>
    <i t="default">
      <x v="19"/>
    </i>
    <i>
      <x v="11"/>
      <x v="35"/>
      <x v="15"/>
    </i>
    <i r="1">
      <x v="36"/>
      <x v="16"/>
    </i>
    <i r="1">
      <x v="37"/>
      <x v="13"/>
    </i>
    <i r="1">
      <x v="38"/>
      <x v="14"/>
    </i>
    <i r="1">
      <x v="39"/>
      <x v="17"/>
    </i>
    <i t="default">
      <x v="11"/>
    </i>
    <i>
      <x v="7"/>
      <x v="18"/>
      <x v="2"/>
    </i>
    <i r="1">
      <x v="19"/>
      <x v="9"/>
    </i>
    <i r="1">
      <x v="20"/>
      <x v="18"/>
    </i>
    <i r="1">
      <x v="21"/>
      <x v="14"/>
    </i>
    <i t="default">
      <x v="7"/>
    </i>
    <i>
      <x v="4"/>
      <x v="8"/>
      <x v="18"/>
    </i>
    <i r="1">
      <x v="9"/>
      <x v="21"/>
    </i>
    <i r="1">
      <x v="10"/>
      <x v="14"/>
    </i>
    <i r="1">
      <x v="11"/>
      <x v="16"/>
    </i>
    <i t="default">
      <x v="4"/>
    </i>
    <i>
      <x v="21"/>
      <x v="78"/>
      <x v="9"/>
    </i>
    <i r="1">
      <x v="79"/>
      <x v="20"/>
    </i>
    <i r="1">
      <x v="80"/>
      <x v="2"/>
    </i>
    <i r="1">
      <x v="81"/>
      <x v="5"/>
    </i>
    <i r="1">
      <x v="82"/>
      <x v="7"/>
    </i>
    <i r="1">
      <x v="83"/>
      <x v="20"/>
    </i>
    <i t="default">
      <x v="21"/>
    </i>
    <i>
      <x v="10"/>
      <x v="30"/>
      <x v="4"/>
    </i>
    <i r="1">
      <x v="31"/>
      <x v="20"/>
    </i>
    <i r="1">
      <x v="32"/>
      <x v="7"/>
    </i>
    <i r="1">
      <x v="33"/>
      <x v="16"/>
    </i>
    <i r="1">
      <x v="34"/>
      <x v="17"/>
    </i>
    <i t="default">
      <x v="10"/>
    </i>
    <i>
      <x v="9"/>
      <x v="24"/>
      <x v="13"/>
    </i>
    <i r="1">
      <x v="25"/>
      <x v="19"/>
    </i>
    <i r="1">
      <x v="26"/>
      <x v="6"/>
    </i>
    <i r="1">
      <x v="27"/>
      <x v="13"/>
    </i>
    <i r="1">
      <x v="28"/>
      <x v="13"/>
    </i>
    <i r="1">
      <x v="29"/>
      <x v="17"/>
    </i>
    <i t="default">
      <x v="9"/>
    </i>
    <i>
      <x v="6"/>
      <x v="16"/>
      <x v="9"/>
    </i>
    <i r="1">
      <x v="17"/>
      <x v="17"/>
    </i>
    <i t="default">
      <x v="6"/>
    </i>
    <i>
      <x v="5"/>
      <x v="12"/>
      <x v="3"/>
    </i>
    <i r="1">
      <x v="13"/>
      <x v="7"/>
    </i>
    <i r="1">
      <x v="14"/>
      <x v="15"/>
    </i>
    <i r="1">
      <x v="15"/>
      <x v="23"/>
    </i>
    <i t="default">
      <x v="5"/>
    </i>
    <i>
      <x v="12"/>
      <x v="40"/>
      <x v="11"/>
    </i>
    <i r="1">
      <x v="41"/>
      <x v="19"/>
    </i>
    <i r="1">
      <x v="42"/>
      <x v="22"/>
    </i>
    <i r="1">
      <x v="43"/>
      <x v="24"/>
    </i>
    <i t="default">
      <x v="12"/>
    </i>
    <i>
      <x v="20"/>
      <x v="76"/>
      <x v="6"/>
    </i>
    <i r="1">
      <x v="77"/>
      <x v="3"/>
    </i>
    <i t="default">
      <x v="20"/>
    </i>
    <i>
      <x/>
      <x/>
      <x v="22"/>
    </i>
    <i r="1">
      <x v="1"/>
      <x v="18"/>
    </i>
    <i t="default">
      <x/>
    </i>
    <i>
      <x v="15"/>
      <x v="48"/>
      <x v="12"/>
    </i>
    <i r="1">
      <x v="49"/>
      <x v="17"/>
    </i>
    <i r="1">
      <x v="50"/>
      <x v="7"/>
    </i>
    <i t="default">
      <x v="15"/>
    </i>
    <i>
      <x v="3"/>
      <x v="7"/>
      <x v="10"/>
    </i>
    <i t="default">
      <x v="3"/>
    </i>
    <i>
      <x v="23"/>
      <x v="87"/>
      <x v="17"/>
    </i>
    <i t="default">
      <x v="23"/>
    </i>
    <i>
      <x v="16"/>
      <x v="51"/>
      <x v="16"/>
    </i>
    <i r="1">
      <x v="52"/>
      <x v="10"/>
    </i>
    <i r="1">
      <x v="53"/>
      <x v="21"/>
    </i>
    <i t="default">
      <x v="16"/>
    </i>
    <i>
      <x v="2"/>
      <x v="4"/>
      <x v="16"/>
    </i>
    <i r="1">
      <x v="5"/>
      <x v="4"/>
    </i>
    <i r="1">
      <x v="6"/>
      <x v="16"/>
    </i>
    <i t="default">
      <x v="2"/>
    </i>
    <i>
      <x v="13"/>
      <x v="44"/>
      <x v="9"/>
    </i>
    <i r="1">
      <x v="45"/>
      <x v="11"/>
    </i>
    <i r="1">
      <x v="46"/>
      <x v="11"/>
    </i>
    <i t="default">
      <x v="13"/>
    </i>
    <i>
      <x v="1"/>
      <x v="2"/>
      <x v="16"/>
    </i>
    <i r="1">
      <x v="3"/>
      <x v="10"/>
    </i>
    <i t="default">
      <x v="1"/>
    </i>
    <i>
      <x v="22"/>
      <x v="84"/>
      <x v="9"/>
    </i>
    <i r="1">
      <x v="85"/>
      <x v="10"/>
    </i>
    <i r="1">
      <x v="86"/>
      <x v="14"/>
    </i>
    <i t="default">
      <x v="22"/>
    </i>
    <i>
      <x v="8"/>
      <x v="22"/>
      <x v="12"/>
    </i>
    <i r="1">
      <x v="23"/>
      <x v="20"/>
    </i>
    <i t="default">
      <x v="8"/>
    </i>
    <i>
      <x v="14"/>
      <x v="47"/>
      <x v="8"/>
    </i>
    <i t="default">
      <x v="14"/>
    </i>
    <i t="grand">
      <x/>
    </i>
  </rowItems>
  <colItems count="1">
    <i/>
  </colItems>
  <dataFields count="1">
    <dataField name="Suma de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6B5CA-0A9D-4ACF-AAA6-8033EBB4A5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A1:B27" firstHeaderRow="2" firstDataRow="2" firstDataCol="1"/>
  <pivotFields count="19">
    <pivotField compact="0" outline="0" showAll="0" defaultSubtotal="0">
      <items count="88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axis="axisRow" compact="0" numFmtId="14" outline="0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>
      <items count="29">
        <item x="22"/>
        <item x="25"/>
        <item x="13"/>
        <item x="7"/>
        <item x="4"/>
        <item x="23"/>
        <item x="18"/>
        <item x="8"/>
        <item x="21"/>
        <item x="11"/>
        <item x="3"/>
        <item x="19"/>
        <item x="14"/>
        <item x="16"/>
        <item x="6"/>
        <item x="9"/>
        <item x="2"/>
        <item x="12"/>
        <item x="0"/>
        <item x="17"/>
        <item x="15"/>
        <item x="5"/>
        <item x="1"/>
        <item x="10"/>
        <item x="20"/>
        <item x="26"/>
        <item x="27"/>
        <item x="2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uma de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FD006-722E-4705-82D3-B1F998C748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A1:B27" firstHeaderRow="2" firstDataRow="2" firstDataCol="1"/>
  <pivotFields count="19">
    <pivotField compact="0" outline="0" showAll="0" defaultSubtotal="0">
      <items count="88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axis="axisRow" compact="0" numFmtId="14" outline="0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>
      <items count="29">
        <item x="22"/>
        <item x="25"/>
        <item x="13"/>
        <item x="7"/>
        <item x="4"/>
        <item x="23"/>
        <item x="18"/>
        <item x="8"/>
        <item x="21"/>
        <item x="11"/>
        <item x="3"/>
        <item x="19"/>
        <item x="14"/>
        <item x="16"/>
        <item x="6"/>
        <item x="9"/>
        <item x="2"/>
        <item x="12"/>
        <item x="0"/>
        <item x="17"/>
        <item x="15"/>
        <item x="5"/>
        <item x="1"/>
        <item x="10"/>
        <item x="20"/>
        <item x="26"/>
        <item x="27"/>
        <item x="2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uma de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F68" workbookViewId="0">
      <selection activeCell="D17" sqref="D17"/>
    </sheetView>
  </sheetViews>
  <sheetFormatPr baseColWidth="10" defaultColWidth="9.140625"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7" width="9.85546875" bestFit="1" customWidth="1"/>
    <col min="18" max="18" width="11.4257812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 x14ac:dyDescent="0.25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ECD7-8EA4-4FE8-B19F-6882C574595D}">
  <dimension ref="A1:D115"/>
  <sheetViews>
    <sheetView workbookViewId="0">
      <selection activeCell="B12" sqref="B12"/>
    </sheetView>
  </sheetViews>
  <sheetFormatPr baseColWidth="10" defaultRowHeight="15" x14ac:dyDescent="0.25"/>
  <cols>
    <col min="1" max="1" width="17.5703125" bestFit="1" customWidth="1"/>
    <col min="2" max="2" width="23.140625" bestFit="1" customWidth="1"/>
    <col min="3" max="3" width="16.28515625" bestFit="1" customWidth="1"/>
    <col min="4" max="4" width="5.42578125" bestFit="1" customWidth="1"/>
  </cols>
  <sheetData>
    <row r="1" spans="1:4" x14ac:dyDescent="0.25">
      <c r="A1" s="9" t="s">
        <v>157</v>
      </c>
    </row>
    <row r="2" spans="1:4" x14ac:dyDescent="0.25">
      <c r="A2" s="9" t="s">
        <v>1</v>
      </c>
      <c r="B2" s="9" t="s">
        <v>0</v>
      </c>
      <c r="C2" s="9" t="s">
        <v>5</v>
      </c>
      <c r="D2" t="s">
        <v>158</v>
      </c>
    </row>
    <row r="3" spans="1:4" x14ac:dyDescent="0.25">
      <c r="A3" s="1">
        <v>44549</v>
      </c>
      <c r="B3" t="s">
        <v>122</v>
      </c>
      <c r="C3">
        <v>17</v>
      </c>
      <c r="D3" s="10">
        <v>4</v>
      </c>
    </row>
    <row r="4" spans="1:4" x14ac:dyDescent="0.25">
      <c r="B4" t="s">
        <v>124</v>
      </c>
      <c r="C4">
        <v>19</v>
      </c>
      <c r="D4" s="10">
        <v>4</v>
      </c>
    </row>
    <row r="5" spans="1:4" x14ac:dyDescent="0.25">
      <c r="B5" t="s">
        <v>126</v>
      </c>
      <c r="C5">
        <v>25</v>
      </c>
      <c r="D5" s="10">
        <v>4</v>
      </c>
    </row>
    <row r="6" spans="1:4" x14ac:dyDescent="0.25">
      <c r="B6" t="s">
        <v>127</v>
      </c>
      <c r="C6">
        <v>35</v>
      </c>
      <c r="D6" s="10">
        <v>4</v>
      </c>
    </row>
    <row r="7" spans="1:4" x14ac:dyDescent="0.25">
      <c r="B7" t="s">
        <v>129</v>
      </c>
      <c r="C7">
        <v>37</v>
      </c>
      <c r="D7" s="10">
        <v>4</v>
      </c>
    </row>
    <row r="8" spans="1:4" x14ac:dyDescent="0.25">
      <c r="B8" t="s">
        <v>130</v>
      </c>
      <c r="C8">
        <v>39</v>
      </c>
      <c r="D8" s="10">
        <v>4</v>
      </c>
    </row>
    <row r="9" spans="1:4" x14ac:dyDescent="0.25">
      <c r="B9" t="s">
        <v>131</v>
      </c>
      <c r="C9">
        <v>63</v>
      </c>
      <c r="D9" s="10">
        <v>4</v>
      </c>
    </row>
    <row r="10" spans="1:4" x14ac:dyDescent="0.25">
      <c r="B10" t="s">
        <v>132</v>
      </c>
      <c r="C10">
        <v>18</v>
      </c>
      <c r="D10" s="10">
        <v>2</v>
      </c>
    </row>
    <row r="11" spans="1:4" x14ac:dyDescent="0.25">
      <c r="B11" t="s">
        <v>134</v>
      </c>
      <c r="C11">
        <v>56</v>
      </c>
      <c r="D11" s="10">
        <v>2</v>
      </c>
    </row>
    <row r="12" spans="1:4" x14ac:dyDescent="0.25">
      <c r="B12" t="s">
        <v>136</v>
      </c>
      <c r="C12">
        <v>39</v>
      </c>
      <c r="D12" s="10">
        <v>11</v>
      </c>
    </row>
    <row r="13" spans="1:4" x14ac:dyDescent="0.25">
      <c r="A13" s="1" t="s">
        <v>159</v>
      </c>
      <c r="D13" s="10">
        <v>43</v>
      </c>
    </row>
    <row r="14" spans="1:4" x14ac:dyDescent="0.25">
      <c r="A14" s="1">
        <v>44548</v>
      </c>
      <c r="B14" t="s">
        <v>114</v>
      </c>
      <c r="C14">
        <v>35</v>
      </c>
      <c r="D14" s="10">
        <v>4</v>
      </c>
    </row>
    <row r="15" spans="1:4" x14ac:dyDescent="0.25">
      <c r="B15" t="s">
        <v>115</v>
      </c>
      <c r="C15">
        <v>38</v>
      </c>
      <c r="D15" s="10">
        <v>4</v>
      </c>
    </row>
    <row r="16" spans="1:4" x14ac:dyDescent="0.25">
      <c r="B16" t="s">
        <v>116</v>
      </c>
      <c r="C16">
        <v>24</v>
      </c>
      <c r="D16" s="10">
        <v>3</v>
      </c>
    </row>
    <row r="17" spans="1:4" x14ac:dyDescent="0.25">
      <c r="B17" t="s">
        <v>118</v>
      </c>
      <c r="C17">
        <v>26</v>
      </c>
      <c r="D17" s="10">
        <v>3</v>
      </c>
    </row>
    <row r="18" spans="1:4" x14ac:dyDescent="0.25">
      <c r="B18" t="s">
        <v>119</v>
      </c>
      <c r="C18">
        <v>39</v>
      </c>
      <c r="D18" s="10">
        <v>3</v>
      </c>
    </row>
    <row r="19" spans="1:4" x14ac:dyDescent="0.25">
      <c r="B19" t="s">
        <v>120</v>
      </c>
      <c r="C19">
        <v>26</v>
      </c>
      <c r="D19" s="10">
        <v>1</v>
      </c>
    </row>
    <row r="20" spans="1:4" x14ac:dyDescent="0.25">
      <c r="B20" t="s">
        <v>121</v>
      </c>
      <c r="C20">
        <v>36</v>
      </c>
      <c r="D20" s="10">
        <v>1</v>
      </c>
    </row>
    <row r="21" spans="1:4" x14ac:dyDescent="0.25">
      <c r="A21" s="1" t="s">
        <v>160</v>
      </c>
      <c r="D21" s="10">
        <v>19</v>
      </c>
    </row>
    <row r="22" spans="1:4" x14ac:dyDescent="0.25">
      <c r="A22" s="1">
        <v>44550</v>
      </c>
      <c r="B22" t="s">
        <v>137</v>
      </c>
      <c r="C22">
        <v>33</v>
      </c>
      <c r="D22" s="10">
        <v>4</v>
      </c>
    </row>
    <row r="23" spans="1:4" x14ac:dyDescent="0.25">
      <c r="B23" t="s">
        <v>138</v>
      </c>
      <c r="C23">
        <v>57</v>
      </c>
      <c r="D23" s="10">
        <v>4</v>
      </c>
    </row>
    <row r="24" spans="1:4" x14ac:dyDescent="0.25">
      <c r="B24" t="s">
        <v>139</v>
      </c>
      <c r="C24">
        <v>29</v>
      </c>
      <c r="D24" s="10">
        <v>3</v>
      </c>
    </row>
    <row r="25" spans="1:4" x14ac:dyDescent="0.25">
      <c r="B25" t="s">
        <v>141</v>
      </c>
      <c r="C25">
        <v>35</v>
      </c>
      <c r="D25" s="10">
        <v>1</v>
      </c>
    </row>
    <row r="26" spans="1:4" x14ac:dyDescent="0.25">
      <c r="B26" t="s">
        <v>142</v>
      </c>
      <c r="C26">
        <v>35</v>
      </c>
      <c r="D26" s="10">
        <v>1</v>
      </c>
    </row>
    <row r="27" spans="1:4" x14ac:dyDescent="0.25">
      <c r="A27" s="1" t="s">
        <v>161</v>
      </c>
      <c r="D27" s="10">
        <v>13</v>
      </c>
    </row>
    <row r="28" spans="1:4" x14ac:dyDescent="0.25">
      <c r="A28" s="1">
        <v>44542</v>
      </c>
      <c r="B28" t="s">
        <v>92</v>
      </c>
      <c r="C28">
        <v>36</v>
      </c>
      <c r="D28" s="10">
        <v>4</v>
      </c>
    </row>
    <row r="29" spans="1:4" x14ac:dyDescent="0.25">
      <c r="B29" t="s">
        <v>93</v>
      </c>
      <c r="C29">
        <v>37</v>
      </c>
      <c r="D29" s="10">
        <v>4</v>
      </c>
    </row>
    <row r="30" spans="1:4" x14ac:dyDescent="0.25">
      <c r="B30" t="s">
        <v>94</v>
      </c>
      <c r="C30">
        <v>34</v>
      </c>
      <c r="D30" s="10">
        <v>2</v>
      </c>
    </row>
    <row r="31" spans="1:4" x14ac:dyDescent="0.25">
      <c r="B31" t="s">
        <v>95</v>
      </c>
      <c r="C31">
        <v>35</v>
      </c>
      <c r="D31" s="10">
        <v>1</v>
      </c>
    </row>
    <row r="32" spans="1:4" x14ac:dyDescent="0.25">
      <c r="B32" t="s">
        <v>96</v>
      </c>
      <c r="C32">
        <v>38</v>
      </c>
      <c r="D32" s="10">
        <v>1</v>
      </c>
    </row>
    <row r="33" spans="1:4" x14ac:dyDescent="0.25">
      <c r="A33" s="1" t="s">
        <v>162</v>
      </c>
      <c r="D33" s="10">
        <v>12</v>
      </c>
    </row>
    <row r="34" spans="1:4" x14ac:dyDescent="0.25">
      <c r="A34" s="1">
        <v>44538</v>
      </c>
      <c r="B34" t="s">
        <v>65</v>
      </c>
      <c r="C34">
        <v>19</v>
      </c>
      <c r="D34" s="10">
        <v>4</v>
      </c>
    </row>
    <row r="35" spans="1:4" x14ac:dyDescent="0.25">
      <c r="B35" t="s">
        <v>67</v>
      </c>
      <c r="C35">
        <v>30</v>
      </c>
      <c r="D35" s="10">
        <v>4</v>
      </c>
    </row>
    <row r="36" spans="1:4" x14ac:dyDescent="0.25">
      <c r="B36" t="s">
        <v>68</v>
      </c>
      <c r="C36">
        <v>39</v>
      </c>
      <c r="D36" s="10">
        <v>2</v>
      </c>
    </row>
    <row r="37" spans="1:4" x14ac:dyDescent="0.25">
      <c r="B37" t="s">
        <v>71</v>
      </c>
      <c r="C37">
        <v>35</v>
      </c>
      <c r="D37" s="10">
        <v>1</v>
      </c>
    </row>
    <row r="38" spans="1:4" x14ac:dyDescent="0.25">
      <c r="A38" s="1" t="s">
        <v>163</v>
      </c>
      <c r="D38" s="10">
        <v>11</v>
      </c>
    </row>
    <row r="39" spans="1:4" x14ac:dyDescent="0.25">
      <c r="A39" s="1">
        <v>44535</v>
      </c>
      <c r="B39" t="s">
        <v>47</v>
      </c>
      <c r="C39">
        <v>39</v>
      </c>
      <c r="D39" s="10">
        <v>4</v>
      </c>
    </row>
    <row r="40" spans="1:4" x14ac:dyDescent="0.25">
      <c r="B40" t="s">
        <v>48</v>
      </c>
      <c r="C40">
        <v>42</v>
      </c>
      <c r="D40" s="10">
        <v>4</v>
      </c>
    </row>
    <row r="41" spans="1:4" x14ac:dyDescent="0.25">
      <c r="B41" t="s">
        <v>51</v>
      </c>
      <c r="C41">
        <v>35</v>
      </c>
      <c r="D41" s="10">
        <v>1</v>
      </c>
    </row>
    <row r="42" spans="1:4" x14ac:dyDescent="0.25">
      <c r="B42" t="s">
        <v>54</v>
      </c>
      <c r="C42">
        <v>37</v>
      </c>
      <c r="D42" s="10">
        <v>1</v>
      </c>
    </row>
    <row r="43" spans="1:4" x14ac:dyDescent="0.25">
      <c r="A43" s="1" t="s">
        <v>164</v>
      </c>
      <c r="D43" s="10">
        <v>10</v>
      </c>
    </row>
    <row r="44" spans="1:4" x14ac:dyDescent="0.25">
      <c r="A44" s="1">
        <v>44552</v>
      </c>
      <c r="B44" t="s">
        <v>146</v>
      </c>
      <c r="C44">
        <v>30</v>
      </c>
      <c r="D44" s="10">
        <v>3</v>
      </c>
    </row>
    <row r="45" spans="1:4" x14ac:dyDescent="0.25">
      <c r="B45" t="s">
        <v>147</v>
      </c>
      <c r="C45">
        <v>41</v>
      </c>
      <c r="D45" s="10">
        <v>3</v>
      </c>
    </row>
    <row r="46" spans="1:4" x14ac:dyDescent="0.25">
      <c r="B46" t="s">
        <v>148</v>
      </c>
      <c r="C46">
        <v>19</v>
      </c>
      <c r="D46" s="10">
        <v>1</v>
      </c>
    </row>
    <row r="47" spans="1:4" x14ac:dyDescent="0.25">
      <c r="B47" t="s">
        <v>149</v>
      </c>
      <c r="C47">
        <v>25</v>
      </c>
      <c r="D47" s="10">
        <v>1</v>
      </c>
    </row>
    <row r="48" spans="1:4" x14ac:dyDescent="0.25">
      <c r="B48" t="s">
        <v>150</v>
      </c>
      <c r="C48">
        <v>27</v>
      </c>
      <c r="D48" s="10">
        <v>1</v>
      </c>
    </row>
    <row r="49" spans="1:4" x14ac:dyDescent="0.25">
      <c r="B49" t="s">
        <v>151</v>
      </c>
      <c r="C49">
        <v>41</v>
      </c>
      <c r="D49" s="10">
        <v>1</v>
      </c>
    </row>
    <row r="50" spans="1:4" x14ac:dyDescent="0.25">
      <c r="A50" s="1" t="s">
        <v>165</v>
      </c>
      <c r="D50" s="10">
        <v>10</v>
      </c>
    </row>
    <row r="51" spans="1:4" x14ac:dyDescent="0.25">
      <c r="A51" s="1">
        <v>44541</v>
      </c>
      <c r="B51" t="s">
        <v>85</v>
      </c>
      <c r="C51">
        <v>24</v>
      </c>
      <c r="D51" s="10">
        <v>3</v>
      </c>
    </row>
    <row r="52" spans="1:4" x14ac:dyDescent="0.25">
      <c r="B52" t="s">
        <v>88</v>
      </c>
      <c r="C52">
        <v>41</v>
      </c>
      <c r="D52" s="10">
        <v>2</v>
      </c>
    </row>
    <row r="53" spans="1:4" x14ac:dyDescent="0.25">
      <c r="B53" t="s">
        <v>89</v>
      </c>
      <c r="C53">
        <v>27</v>
      </c>
      <c r="D53" s="10">
        <v>1</v>
      </c>
    </row>
    <row r="54" spans="1:4" x14ac:dyDescent="0.25">
      <c r="B54" t="s">
        <v>90</v>
      </c>
      <c r="C54">
        <v>37</v>
      </c>
      <c r="D54" s="10">
        <v>1</v>
      </c>
    </row>
    <row r="55" spans="1:4" x14ac:dyDescent="0.25">
      <c r="B55" t="s">
        <v>91</v>
      </c>
      <c r="C55">
        <v>38</v>
      </c>
      <c r="D55" s="10">
        <v>1</v>
      </c>
    </row>
    <row r="56" spans="1:4" x14ac:dyDescent="0.25">
      <c r="A56" s="1" t="s">
        <v>166</v>
      </c>
      <c r="D56" s="10">
        <v>8</v>
      </c>
    </row>
    <row r="57" spans="1:4" x14ac:dyDescent="0.25">
      <c r="A57" s="1">
        <v>44540</v>
      </c>
      <c r="B57" t="s">
        <v>77</v>
      </c>
      <c r="C57">
        <v>34</v>
      </c>
      <c r="D57" s="10">
        <v>2</v>
      </c>
    </row>
    <row r="58" spans="1:4" x14ac:dyDescent="0.25">
      <c r="B58" t="s">
        <v>78</v>
      </c>
      <c r="C58">
        <v>40</v>
      </c>
      <c r="D58" s="10">
        <v>2</v>
      </c>
    </row>
    <row r="59" spans="1:4" x14ac:dyDescent="0.25">
      <c r="B59" t="s">
        <v>79</v>
      </c>
      <c r="C59">
        <v>26</v>
      </c>
      <c r="D59" s="10">
        <v>1</v>
      </c>
    </row>
    <row r="60" spans="1:4" x14ac:dyDescent="0.25">
      <c r="B60" t="s">
        <v>80</v>
      </c>
      <c r="C60">
        <v>34</v>
      </c>
      <c r="D60" s="10">
        <v>1</v>
      </c>
    </row>
    <row r="61" spans="1:4" x14ac:dyDescent="0.25">
      <c r="B61" t="s">
        <v>82</v>
      </c>
      <c r="C61">
        <v>34</v>
      </c>
      <c r="D61" s="10">
        <v>1</v>
      </c>
    </row>
    <row r="62" spans="1:4" x14ac:dyDescent="0.25">
      <c r="B62" t="s">
        <v>84</v>
      </c>
      <c r="C62">
        <v>38</v>
      </c>
      <c r="D62" s="10">
        <v>1</v>
      </c>
    </row>
    <row r="63" spans="1:4" x14ac:dyDescent="0.25">
      <c r="A63" s="1" t="s">
        <v>167</v>
      </c>
      <c r="D63" s="10">
        <v>8</v>
      </c>
    </row>
    <row r="64" spans="1:4" x14ac:dyDescent="0.25">
      <c r="A64" s="1">
        <v>44537</v>
      </c>
      <c r="B64" t="s">
        <v>62</v>
      </c>
      <c r="C64">
        <v>30</v>
      </c>
      <c r="D64" s="10">
        <v>4</v>
      </c>
    </row>
    <row r="65" spans="1:4" x14ac:dyDescent="0.25">
      <c r="B65" t="s">
        <v>64</v>
      </c>
      <c r="C65">
        <v>38</v>
      </c>
      <c r="D65" s="10">
        <v>2</v>
      </c>
    </row>
    <row r="66" spans="1:4" x14ac:dyDescent="0.25">
      <c r="A66" s="1" t="s">
        <v>168</v>
      </c>
      <c r="D66" s="10">
        <v>6</v>
      </c>
    </row>
    <row r="67" spans="1:4" x14ac:dyDescent="0.25">
      <c r="A67" s="1">
        <v>44536</v>
      </c>
      <c r="B67" t="s">
        <v>55</v>
      </c>
      <c r="C67">
        <v>23</v>
      </c>
      <c r="D67" s="10">
        <v>3</v>
      </c>
    </row>
    <row r="68" spans="1:4" x14ac:dyDescent="0.25">
      <c r="B68" t="s">
        <v>56</v>
      </c>
      <c r="C68">
        <v>27</v>
      </c>
      <c r="D68" s="10">
        <v>1</v>
      </c>
    </row>
    <row r="69" spans="1:4" x14ac:dyDescent="0.25">
      <c r="B69" t="s">
        <v>59</v>
      </c>
      <c r="C69">
        <v>36</v>
      </c>
      <c r="D69" s="10">
        <v>1</v>
      </c>
    </row>
    <row r="70" spans="1:4" x14ac:dyDescent="0.25">
      <c r="B70" t="s">
        <v>61</v>
      </c>
      <c r="C70">
        <v>47</v>
      </c>
      <c r="D70" s="10">
        <v>1</v>
      </c>
    </row>
    <row r="71" spans="1:4" x14ac:dyDescent="0.25">
      <c r="A71" s="1" t="s">
        <v>169</v>
      </c>
      <c r="D71" s="10">
        <v>6</v>
      </c>
    </row>
    <row r="72" spans="1:4" x14ac:dyDescent="0.25">
      <c r="A72" s="1">
        <v>44543</v>
      </c>
      <c r="B72" t="s">
        <v>97</v>
      </c>
      <c r="C72">
        <v>32</v>
      </c>
      <c r="D72" s="10">
        <v>3</v>
      </c>
    </row>
    <row r="73" spans="1:4" x14ac:dyDescent="0.25">
      <c r="B73" t="s">
        <v>98</v>
      </c>
      <c r="C73">
        <v>40</v>
      </c>
      <c r="D73" s="10">
        <v>1</v>
      </c>
    </row>
    <row r="74" spans="1:4" x14ac:dyDescent="0.25">
      <c r="B74" t="s">
        <v>100</v>
      </c>
      <c r="C74">
        <v>44</v>
      </c>
      <c r="D74" s="10">
        <v>1</v>
      </c>
    </row>
    <row r="75" spans="1:4" x14ac:dyDescent="0.25">
      <c r="B75" t="s">
        <v>101</v>
      </c>
      <c r="C75">
        <v>49</v>
      </c>
      <c r="D75" s="10">
        <v>1</v>
      </c>
    </row>
    <row r="76" spans="1:4" x14ac:dyDescent="0.25">
      <c r="A76" s="1" t="s">
        <v>170</v>
      </c>
      <c r="D76" s="10">
        <v>6</v>
      </c>
    </row>
    <row r="77" spans="1:4" x14ac:dyDescent="0.25">
      <c r="A77" s="1">
        <v>44551</v>
      </c>
      <c r="B77" t="s">
        <v>143</v>
      </c>
      <c r="C77">
        <v>26</v>
      </c>
      <c r="D77" s="10">
        <v>3</v>
      </c>
    </row>
    <row r="78" spans="1:4" x14ac:dyDescent="0.25">
      <c r="B78" t="s">
        <v>145</v>
      </c>
      <c r="C78">
        <v>23</v>
      </c>
      <c r="D78" s="10">
        <v>2</v>
      </c>
    </row>
    <row r="79" spans="1:4" x14ac:dyDescent="0.25">
      <c r="A79" s="1" t="s">
        <v>171</v>
      </c>
      <c r="D79" s="10">
        <v>5</v>
      </c>
    </row>
    <row r="80" spans="1:4" x14ac:dyDescent="0.25">
      <c r="A80" s="1">
        <v>44531</v>
      </c>
      <c r="B80" t="s">
        <v>28</v>
      </c>
      <c r="C80">
        <v>44</v>
      </c>
      <c r="D80" s="10">
        <v>1</v>
      </c>
    </row>
    <row r="81" spans="1:4" x14ac:dyDescent="0.25">
      <c r="B81" t="s">
        <v>19</v>
      </c>
      <c r="C81">
        <v>39</v>
      </c>
      <c r="D81" s="10">
        <v>4</v>
      </c>
    </row>
    <row r="82" spans="1:4" x14ac:dyDescent="0.25">
      <c r="A82" s="1" t="s">
        <v>172</v>
      </c>
      <c r="D82" s="10">
        <v>5</v>
      </c>
    </row>
    <row r="83" spans="1:4" x14ac:dyDescent="0.25">
      <c r="A83" s="1">
        <v>44546</v>
      </c>
      <c r="B83" t="s">
        <v>106</v>
      </c>
      <c r="C83">
        <v>33</v>
      </c>
      <c r="D83" s="10">
        <v>2</v>
      </c>
    </row>
    <row r="84" spans="1:4" x14ac:dyDescent="0.25">
      <c r="B84" t="s">
        <v>107</v>
      </c>
      <c r="C84">
        <v>38</v>
      </c>
      <c r="D84" s="10">
        <v>2</v>
      </c>
    </row>
    <row r="85" spans="1:4" x14ac:dyDescent="0.25">
      <c r="B85" t="s">
        <v>108</v>
      </c>
      <c r="C85">
        <v>27</v>
      </c>
      <c r="D85" s="10">
        <v>1</v>
      </c>
    </row>
    <row r="86" spans="1:4" x14ac:dyDescent="0.25">
      <c r="A86" s="1" t="s">
        <v>173</v>
      </c>
      <c r="D86" s="10">
        <v>5</v>
      </c>
    </row>
    <row r="87" spans="1:4" x14ac:dyDescent="0.25">
      <c r="A87" s="1">
        <v>44534</v>
      </c>
      <c r="B87" t="s">
        <v>46</v>
      </c>
      <c r="C87">
        <v>31</v>
      </c>
      <c r="D87" s="10">
        <v>4</v>
      </c>
    </row>
    <row r="88" spans="1:4" x14ac:dyDescent="0.25">
      <c r="A88" s="1" t="s">
        <v>174</v>
      </c>
      <c r="D88" s="10">
        <v>4</v>
      </c>
    </row>
    <row r="89" spans="1:4" x14ac:dyDescent="0.25">
      <c r="A89" s="1">
        <v>44554</v>
      </c>
      <c r="B89" t="s">
        <v>155</v>
      </c>
      <c r="C89">
        <v>38</v>
      </c>
      <c r="D89" s="10">
        <v>4</v>
      </c>
    </row>
    <row r="90" spans="1:4" x14ac:dyDescent="0.25">
      <c r="A90" s="1" t="s">
        <v>175</v>
      </c>
      <c r="D90" s="10">
        <v>4</v>
      </c>
    </row>
    <row r="91" spans="1:4" x14ac:dyDescent="0.25">
      <c r="A91" s="1">
        <v>44547</v>
      </c>
      <c r="B91" t="s">
        <v>111</v>
      </c>
      <c r="C91">
        <v>37</v>
      </c>
      <c r="D91" s="10">
        <v>2</v>
      </c>
    </row>
    <row r="92" spans="1:4" x14ac:dyDescent="0.25">
      <c r="B92" t="s">
        <v>112</v>
      </c>
      <c r="C92">
        <v>31</v>
      </c>
      <c r="D92" s="10">
        <v>1</v>
      </c>
    </row>
    <row r="93" spans="1:4" x14ac:dyDescent="0.25">
      <c r="B93" t="s">
        <v>113</v>
      </c>
      <c r="C93">
        <v>42</v>
      </c>
      <c r="D93" s="10">
        <v>1</v>
      </c>
    </row>
    <row r="94" spans="1:4" x14ac:dyDescent="0.25">
      <c r="A94" s="1" t="s">
        <v>176</v>
      </c>
      <c r="D94" s="10">
        <v>4</v>
      </c>
    </row>
    <row r="95" spans="1:4" x14ac:dyDescent="0.25">
      <c r="A95" s="1">
        <v>44533</v>
      </c>
      <c r="B95" t="s">
        <v>40</v>
      </c>
      <c r="C95">
        <v>37</v>
      </c>
      <c r="D95" s="10">
        <v>2</v>
      </c>
    </row>
    <row r="96" spans="1:4" x14ac:dyDescent="0.25">
      <c r="B96" t="s">
        <v>41</v>
      </c>
      <c r="C96">
        <v>24</v>
      </c>
      <c r="D96" s="10">
        <v>1</v>
      </c>
    </row>
    <row r="97" spans="1:4" x14ac:dyDescent="0.25">
      <c r="B97" t="s">
        <v>44</v>
      </c>
      <c r="C97">
        <v>37</v>
      </c>
      <c r="D97" s="10">
        <v>1</v>
      </c>
    </row>
    <row r="98" spans="1:4" x14ac:dyDescent="0.25">
      <c r="A98" s="1" t="s">
        <v>177</v>
      </c>
      <c r="D98" s="10">
        <v>4</v>
      </c>
    </row>
    <row r="99" spans="1:4" x14ac:dyDescent="0.25">
      <c r="A99" s="1">
        <v>44544</v>
      </c>
      <c r="B99" t="s">
        <v>102</v>
      </c>
      <c r="C99">
        <v>30</v>
      </c>
      <c r="D99" s="10">
        <v>2</v>
      </c>
    </row>
    <row r="100" spans="1:4" x14ac:dyDescent="0.25">
      <c r="B100" t="s">
        <v>103</v>
      </c>
      <c r="C100">
        <v>32</v>
      </c>
      <c r="D100" s="10">
        <v>1</v>
      </c>
    </row>
    <row r="101" spans="1:4" x14ac:dyDescent="0.25">
      <c r="B101" t="s">
        <v>104</v>
      </c>
      <c r="C101">
        <v>32</v>
      </c>
      <c r="D101" s="10">
        <v>1</v>
      </c>
    </row>
    <row r="102" spans="1:4" x14ac:dyDescent="0.25">
      <c r="A102" s="1" t="s">
        <v>178</v>
      </c>
      <c r="D102" s="10">
        <v>4</v>
      </c>
    </row>
    <row r="103" spans="1:4" x14ac:dyDescent="0.25">
      <c r="A103" s="1">
        <v>44532</v>
      </c>
      <c r="B103" t="s">
        <v>33</v>
      </c>
      <c r="C103">
        <v>37</v>
      </c>
      <c r="D103" s="10">
        <v>2</v>
      </c>
    </row>
    <row r="104" spans="1:4" x14ac:dyDescent="0.25">
      <c r="B104" t="s">
        <v>35</v>
      </c>
      <c r="C104">
        <v>31</v>
      </c>
      <c r="D104" s="10">
        <v>1</v>
      </c>
    </row>
    <row r="105" spans="1:4" x14ac:dyDescent="0.25">
      <c r="A105" s="1" t="s">
        <v>179</v>
      </c>
      <c r="D105" s="10">
        <v>3</v>
      </c>
    </row>
    <row r="106" spans="1:4" x14ac:dyDescent="0.25">
      <c r="A106" s="1">
        <v>44553</v>
      </c>
      <c r="B106" t="s">
        <v>152</v>
      </c>
      <c r="C106">
        <v>30</v>
      </c>
      <c r="D106" s="10">
        <v>1</v>
      </c>
    </row>
    <row r="107" spans="1:4" x14ac:dyDescent="0.25">
      <c r="B107" t="s">
        <v>153</v>
      </c>
      <c r="C107">
        <v>31</v>
      </c>
      <c r="D107" s="10">
        <v>1</v>
      </c>
    </row>
    <row r="108" spans="1:4" x14ac:dyDescent="0.25">
      <c r="B108" t="s">
        <v>154</v>
      </c>
      <c r="C108">
        <v>35</v>
      </c>
      <c r="D108" s="10">
        <v>1</v>
      </c>
    </row>
    <row r="109" spans="1:4" x14ac:dyDescent="0.25">
      <c r="A109" s="1" t="s">
        <v>180</v>
      </c>
      <c r="D109" s="10">
        <v>3</v>
      </c>
    </row>
    <row r="110" spans="1:4" x14ac:dyDescent="0.25">
      <c r="A110" s="1">
        <v>44539</v>
      </c>
      <c r="B110" t="s">
        <v>72</v>
      </c>
      <c r="C110">
        <v>33</v>
      </c>
      <c r="D110" s="10">
        <v>2</v>
      </c>
    </row>
    <row r="111" spans="1:4" x14ac:dyDescent="0.25">
      <c r="B111" t="s">
        <v>75</v>
      </c>
      <c r="C111">
        <v>41</v>
      </c>
      <c r="D111" s="10">
        <v>1</v>
      </c>
    </row>
    <row r="112" spans="1:4" x14ac:dyDescent="0.25">
      <c r="A112" s="1" t="s">
        <v>181</v>
      </c>
      <c r="D112" s="10">
        <v>3</v>
      </c>
    </row>
    <row r="113" spans="1:4" x14ac:dyDescent="0.25">
      <c r="A113" s="1">
        <v>44545</v>
      </c>
      <c r="B113" t="s">
        <v>105</v>
      </c>
      <c r="C113">
        <v>29</v>
      </c>
      <c r="D113" s="10">
        <v>1</v>
      </c>
    </row>
    <row r="114" spans="1:4" x14ac:dyDescent="0.25">
      <c r="A114" s="1" t="s">
        <v>182</v>
      </c>
      <c r="D114" s="10">
        <v>1</v>
      </c>
    </row>
    <row r="115" spans="1:4" x14ac:dyDescent="0.25">
      <c r="A115" s="1" t="s">
        <v>156</v>
      </c>
      <c r="D115" s="10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58AC-E410-4756-A9AF-13D99C2DF8ED}">
  <dimension ref="A1:I27"/>
  <sheetViews>
    <sheetView topLeftCell="A10" workbookViewId="0">
      <selection activeCell="D28" sqref="D28"/>
    </sheetView>
  </sheetViews>
  <sheetFormatPr baseColWidth="10" defaultRowHeight="15" x14ac:dyDescent="0.25"/>
  <cols>
    <col min="1" max="1" width="23.140625" bestFit="1" customWidth="1"/>
    <col min="2" max="4" width="5.42578125" bestFit="1" customWidth="1"/>
  </cols>
  <sheetData>
    <row r="1" spans="1:9" x14ac:dyDescent="0.25">
      <c r="A1" s="9" t="s">
        <v>157</v>
      </c>
    </row>
    <row r="2" spans="1:9" x14ac:dyDescent="0.25">
      <c r="A2" s="9" t="s">
        <v>1</v>
      </c>
      <c r="B2" t="s">
        <v>158</v>
      </c>
      <c r="H2" t="s">
        <v>1</v>
      </c>
      <c r="I2" t="s">
        <v>158</v>
      </c>
    </row>
    <row r="3" spans="1:9" x14ac:dyDescent="0.25">
      <c r="A3" s="1">
        <v>44549</v>
      </c>
      <c r="B3" s="10">
        <v>43</v>
      </c>
      <c r="H3" s="1">
        <v>44549</v>
      </c>
      <c r="I3">
        <v>43</v>
      </c>
    </row>
    <row r="4" spans="1:9" x14ac:dyDescent="0.25">
      <c r="A4" s="1">
        <v>44548</v>
      </c>
      <c r="B4" s="10">
        <v>19</v>
      </c>
      <c r="H4" s="1">
        <v>44548</v>
      </c>
      <c r="I4">
        <v>19</v>
      </c>
    </row>
    <row r="5" spans="1:9" x14ac:dyDescent="0.25">
      <c r="A5" s="1">
        <v>44550</v>
      </c>
      <c r="B5" s="10">
        <v>13</v>
      </c>
      <c r="H5" s="1">
        <v>44550</v>
      </c>
      <c r="I5">
        <v>13</v>
      </c>
    </row>
    <row r="6" spans="1:9" x14ac:dyDescent="0.25">
      <c r="A6" s="1">
        <v>44542</v>
      </c>
      <c r="B6" s="10">
        <v>12</v>
      </c>
      <c r="H6" s="1">
        <v>44542</v>
      </c>
      <c r="I6">
        <v>12</v>
      </c>
    </row>
    <row r="7" spans="1:9" x14ac:dyDescent="0.25">
      <c r="A7" s="1">
        <v>44538</v>
      </c>
      <c r="B7" s="10">
        <v>11</v>
      </c>
      <c r="H7" s="1">
        <v>44538</v>
      </c>
      <c r="I7">
        <v>11</v>
      </c>
    </row>
    <row r="8" spans="1:9" x14ac:dyDescent="0.25">
      <c r="A8" s="1">
        <v>44535</v>
      </c>
      <c r="B8" s="10">
        <v>10</v>
      </c>
      <c r="H8" s="1">
        <v>44535</v>
      </c>
      <c r="I8">
        <v>10</v>
      </c>
    </row>
    <row r="9" spans="1:9" x14ac:dyDescent="0.25">
      <c r="A9" s="1">
        <v>44552</v>
      </c>
      <c r="B9" s="10">
        <v>10</v>
      </c>
      <c r="H9" s="1">
        <v>44552</v>
      </c>
      <c r="I9">
        <v>10</v>
      </c>
    </row>
    <row r="10" spans="1:9" x14ac:dyDescent="0.25">
      <c r="A10" s="1">
        <v>44541</v>
      </c>
      <c r="B10" s="10">
        <v>8</v>
      </c>
      <c r="H10" s="1">
        <v>44541</v>
      </c>
      <c r="I10">
        <v>8</v>
      </c>
    </row>
    <row r="11" spans="1:9" x14ac:dyDescent="0.25">
      <c r="A11" s="1">
        <v>44540</v>
      </c>
      <c r="B11" s="10">
        <v>8</v>
      </c>
      <c r="H11" s="1">
        <v>44540</v>
      </c>
      <c r="I11">
        <v>8</v>
      </c>
    </row>
    <row r="12" spans="1:9" x14ac:dyDescent="0.25">
      <c r="A12" s="1">
        <v>44537</v>
      </c>
      <c r="B12" s="10">
        <v>6</v>
      </c>
      <c r="H12" s="1">
        <v>44537</v>
      </c>
      <c r="I12">
        <v>6</v>
      </c>
    </row>
    <row r="13" spans="1:9" x14ac:dyDescent="0.25">
      <c r="A13" s="1">
        <v>44536</v>
      </c>
      <c r="B13" s="10">
        <v>6</v>
      </c>
    </row>
    <row r="14" spans="1:9" x14ac:dyDescent="0.25">
      <c r="A14" s="1">
        <v>44543</v>
      </c>
      <c r="B14" s="10">
        <v>6</v>
      </c>
    </row>
    <row r="15" spans="1:9" x14ac:dyDescent="0.25">
      <c r="A15" s="1">
        <v>44551</v>
      </c>
      <c r="B15" s="10">
        <v>5</v>
      </c>
    </row>
    <row r="16" spans="1:9" x14ac:dyDescent="0.25">
      <c r="A16" s="1">
        <v>44531</v>
      </c>
      <c r="B16" s="10">
        <v>5</v>
      </c>
    </row>
    <row r="17" spans="1:2" x14ac:dyDescent="0.25">
      <c r="A17" s="1">
        <v>44546</v>
      </c>
      <c r="B17" s="10">
        <v>5</v>
      </c>
    </row>
    <row r="18" spans="1:2" x14ac:dyDescent="0.25">
      <c r="A18" s="1">
        <v>44534</v>
      </c>
      <c r="B18" s="10">
        <v>4</v>
      </c>
    </row>
    <row r="19" spans="1:2" x14ac:dyDescent="0.25">
      <c r="A19" s="1">
        <v>44554</v>
      </c>
      <c r="B19" s="10">
        <v>4</v>
      </c>
    </row>
    <row r="20" spans="1:2" x14ac:dyDescent="0.25">
      <c r="A20" s="1">
        <v>44547</v>
      </c>
      <c r="B20" s="10">
        <v>4</v>
      </c>
    </row>
    <row r="21" spans="1:2" x14ac:dyDescent="0.25">
      <c r="A21" s="1">
        <v>44533</v>
      </c>
      <c r="B21" s="10">
        <v>4</v>
      </c>
    </row>
    <row r="22" spans="1:2" x14ac:dyDescent="0.25">
      <c r="A22" s="1">
        <v>44544</v>
      </c>
      <c r="B22" s="10">
        <v>4</v>
      </c>
    </row>
    <row r="23" spans="1:2" x14ac:dyDescent="0.25">
      <c r="A23" s="1">
        <v>44532</v>
      </c>
      <c r="B23" s="10">
        <v>3</v>
      </c>
    </row>
    <row r="24" spans="1:2" x14ac:dyDescent="0.25">
      <c r="A24" s="1">
        <v>44553</v>
      </c>
      <c r="B24" s="10">
        <v>3</v>
      </c>
    </row>
    <row r="25" spans="1:2" x14ac:dyDescent="0.25">
      <c r="A25" s="1">
        <v>44539</v>
      </c>
      <c r="B25" s="10">
        <v>3</v>
      </c>
    </row>
    <row r="26" spans="1:2" x14ac:dyDescent="0.25">
      <c r="A26" s="1">
        <v>44545</v>
      </c>
      <c r="B26" s="10">
        <v>1</v>
      </c>
    </row>
    <row r="27" spans="1:2" x14ac:dyDescent="0.25">
      <c r="A27" s="1" t="s">
        <v>156</v>
      </c>
      <c r="B27" s="10">
        <v>197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3552-4431-4302-AC38-54427F1FDF37}">
  <dimension ref="A1:I27"/>
  <sheetViews>
    <sheetView tabSelected="1" workbookViewId="0">
      <selection activeCell="I4" sqref="I4"/>
    </sheetView>
  </sheetViews>
  <sheetFormatPr baseColWidth="10" defaultRowHeight="15" x14ac:dyDescent="0.25"/>
  <cols>
    <col min="1" max="1" width="23.140625" bestFit="1" customWidth="1"/>
    <col min="2" max="4" width="5.42578125" bestFit="1" customWidth="1"/>
  </cols>
  <sheetData>
    <row r="1" spans="1:9" x14ac:dyDescent="0.25">
      <c r="A1" t="s">
        <v>157</v>
      </c>
    </row>
    <row r="2" spans="1:9" x14ac:dyDescent="0.25">
      <c r="A2" t="s">
        <v>1</v>
      </c>
      <c r="B2" t="s">
        <v>158</v>
      </c>
    </row>
    <row r="3" spans="1:9" x14ac:dyDescent="0.25">
      <c r="A3" s="1">
        <v>44549</v>
      </c>
      <c r="B3" s="10">
        <v>43</v>
      </c>
      <c r="E3">
        <f>+LARGE($B$3:$B$26,1)</f>
        <v>43</v>
      </c>
      <c r="G3" cm="1">
        <f t="array" ref="G3:G7">+LARGE($B$3:$B$26,ROW($1:5))</f>
        <v>43</v>
      </c>
      <c r="I3" cm="1">
        <f t="array" ref="I3:I8">+SMALL($B$3:$B$26,ROW($1:$6))</f>
        <v>1</v>
      </c>
    </row>
    <row r="4" spans="1:9" x14ac:dyDescent="0.25">
      <c r="A4" s="1">
        <v>44548</v>
      </c>
      <c r="B4" s="10">
        <v>19</v>
      </c>
      <c r="E4">
        <f>+SMALL(B3:B26,1)</f>
        <v>1</v>
      </c>
      <c r="G4">
        <v>19</v>
      </c>
      <c r="I4">
        <v>3</v>
      </c>
    </row>
    <row r="5" spans="1:9" x14ac:dyDescent="0.25">
      <c r="A5" s="1">
        <v>44550</v>
      </c>
      <c r="B5" s="10">
        <v>13</v>
      </c>
      <c r="G5">
        <v>13</v>
      </c>
      <c r="I5">
        <v>3</v>
      </c>
    </row>
    <row r="6" spans="1:9" x14ac:dyDescent="0.25">
      <c r="A6" s="1">
        <v>44542</v>
      </c>
      <c r="B6" s="10">
        <v>12</v>
      </c>
      <c r="G6">
        <v>12</v>
      </c>
      <c r="I6">
        <v>3</v>
      </c>
    </row>
    <row r="7" spans="1:9" x14ac:dyDescent="0.25">
      <c r="A7" s="1">
        <v>44538</v>
      </c>
      <c r="B7" s="10">
        <v>11</v>
      </c>
      <c r="G7">
        <v>11</v>
      </c>
      <c r="I7">
        <v>4</v>
      </c>
    </row>
    <row r="8" spans="1:9" x14ac:dyDescent="0.25">
      <c r="A8" s="1">
        <v>44535</v>
      </c>
      <c r="B8" s="10">
        <v>10</v>
      </c>
      <c r="I8">
        <v>4</v>
      </c>
    </row>
    <row r="9" spans="1:9" x14ac:dyDescent="0.25">
      <c r="A9" s="1">
        <v>44552</v>
      </c>
      <c r="B9" s="10">
        <v>10</v>
      </c>
    </row>
    <row r="10" spans="1:9" x14ac:dyDescent="0.25">
      <c r="A10" s="1">
        <v>44541</v>
      </c>
      <c r="B10" s="10">
        <v>8</v>
      </c>
    </row>
    <row r="11" spans="1:9" x14ac:dyDescent="0.25">
      <c r="A11" s="1">
        <v>44540</v>
      </c>
      <c r="B11" s="10">
        <v>8</v>
      </c>
    </row>
    <row r="12" spans="1:9" x14ac:dyDescent="0.25">
      <c r="A12" s="1">
        <v>44537</v>
      </c>
      <c r="B12" s="10">
        <v>6</v>
      </c>
    </row>
    <row r="13" spans="1:9" x14ac:dyDescent="0.25">
      <c r="A13" s="1">
        <v>44536</v>
      </c>
      <c r="B13" s="10">
        <v>6</v>
      </c>
    </row>
    <row r="14" spans="1:9" x14ac:dyDescent="0.25">
      <c r="A14" s="1">
        <v>44543</v>
      </c>
      <c r="B14" s="10">
        <v>6</v>
      </c>
    </row>
    <row r="15" spans="1:9" x14ac:dyDescent="0.25">
      <c r="A15" s="1">
        <v>44551</v>
      </c>
      <c r="B15" s="10">
        <v>5</v>
      </c>
    </row>
    <row r="16" spans="1:9" x14ac:dyDescent="0.25">
      <c r="A16" s="1">
        <v>44531</v>
      </c>
      <c r="B16" s="10">
        <v>5</v>
      </c>
    </row>
    <row r="17" spans="1:2" x14ac:dyDescent="0.25">
      <c r="A17" s="1">
        <v>44546</v>
      </c>
      <c r="B17" s="10">
        <v>5</v>
      </c>
    </row>
    <row r="18" spans="1:2" x14ac:dyDescent="0.25">
      <c r="A18" s="1">
        <v>44534</v>
      </c>
      <c r="B18" s="10">
        <v>4</v>
      </c>
    </row>
    <row r="19" spans="1:2" x14ac:dyDescent="0.25">
      <c r="A19" s="1">
        <v>44554</v>
      </c>
      <c r="B19" s="10">
        <v>4</v>
      </c>
    </row>
    <row r="20" spans="1:2" x14ac:dyDescent="0.25">
      <c r="A20" s="1">
        <v>44547</v>
      </c>
      <c r="B20" s="10">
        <v>4</v>
      </c>
    </row>
    <row r="21" spans="1:2" x14ac:dyDescent="0.25">
      <c r="A21" s="1">
        <v>44533</v>
      </c>
      <c r="B21" s="10">
        <v>4</v>
      </c>
    </row>
    <row r="22" spans="1:2" x14ac:dyDescent="0.25">
      <c r="A22" s="1">
        <v>44544</v>
      </c>
      <c r="B22" s="10">
        <v>4</v>
      </c>
    </row>
    <row r="23" spans="1:2" x14ac:dyDescent="0.25">
      <c r="A23" s="1">
        <v>44532</v>
      </c>
      <c r="B23" s="10">
        <v>3</v>
      </c>
    </row>
    <row r="24" spans="1:2" x14ac:dyDescent="0.25">
      <c r="A24" s="1">
        <v>44553</v>
      </c>
      <c r="B24" s="10">
        <v>3</v>
      </c>
    </row>
    <row r="25" spans="1:2" x14ac:dyDescent="0.25">
      <c r="A25" s="1">
        <v>44539</v>
      </c>
      <c r="B25" s="10">
        <v>3</v>
      </c>
    </row>
    <row r="26" spans="1:2" x14ac:dyDescent="0.25">
      <c r="A26" s="1">
        <v>44545</v>
      </c>
      <c r="B26" s="10">
        <v>1</v>
      </c>
    </row>
    <row r="27" spans="1:2" x14ac:dyDescent="0.25">
      <c r="A27" s="1" t="s">
        <v>156</v>
      </c>
      <c r="B27" s="10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Bike Sales</vt:lpstr>
      <vt:lpstr>Revision 1</vt:lpstr>
      <vt:lpstr>Revision 1 (2)</vt:lpstr>
      <vt:lpstr>Revision 1 (3)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Marlon Alvarez C</cp:lastModifiedBy>
  <cp:revision/>
  <dcterms:created xsi:type="dcterms:W3CDTF">2022-11-04T20:14:11Z</dcterms:created>
  <dcterms:modified xsi:type="dcterms:W3CDTF">2026-06-09T19:26:28Z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